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Badak - Underwater (Retender)\"/>
    </mc:Choice>
  </mc:AlternateContent>
  <xr:revisionPtr revIDLastSave="0" documentId="13_ncr:1_{F2803666-0A9A-486B-9604-4A59D667817E}" xr6:coauthVersionLast="47" xr6:coauthVersionMax="47" xr10:uidLastSave="{00000000-0000-0000-0000-000000000000}"/>
  <bookViews>
    <workbookView xWindow="-108" yWindow="-108" windowWidth="23256" windowHeight="12456" xr2:uid="{B7C67012-5E40-4965-A1F1-9ADB7C48D06C}"/>
  </bookViews>
  <sheets>
    <sheet name="1" sheetId="2" r:id="rId1"/>
    <sheet name="4" sheetId="16" r:id="rId2"/>
    <sheet name="7" sheetId="5" r:id="rId3"/>
    <sheet name="buffer" sheetId="7" state="very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5" i="16" l="1"/>
  <c r="N12" i="2" s="1"/>
  <c r="T69" i="16"/>
  <c r="T68" i="16"/>
  <c r="S19" i="16"/>
  <c r="S14" i="16"/>
  <c r="H46" i="16"/>
  <c r="H47" i="16"/>
  <c r="H48" i="16"/>
  <c r="H49" i="16"/>
  <c r="H50" i="16"/>
  <c r="H51" i="16"/>
  <c r="H52" i="16"/>
  <c r="H53" i="16"/>
  <c r="H54" i="16"/>
  <c r="H55" i="16"/>
  <c r="H45" i="16"/>
  <c r="H66" i="16"/>
  <c r="H67" i="16"/>
  <c r="H68" i="16"/>
  <c r="H69" i="16"/>
  <c r="H70" i="16"/>
  <c r="H71" i="16"/>
  <c r="H72" i="16"/>
  <c r="H65" i="16"/>
  <c r="D22" i="16" l="1"/>
  <c r="H16" i="16"/>
  <c r="L17" i="5" l="1"/>
  <c r="H19" i="16"/>
  <c r="T47" i="16" l="1"/>
  <c r="S47" i="16"/>
  <c r="T52" i="16"/>
  <c r="S52" i="16"/>
  <c r="T49" i="16"/>
  <c r="S49" i="16"/>
  <c r="T51" i="16"/>
  <c r="S51" i="16"/>
  <c r="S50" i="16"/>
  <c r="T50" i="16"/>
  <c r="T48" i="16"/>
  <c r="S48" i="16"/>
  <c r="H18" i="16" l="1"/>
  <c r="S18" i="16" s="1"/>
  <c r="O17" i="2"/>
  <c r="N17" i="2"/>
  <c r="P17" i="2" l="1"/>
  <c r="S54" i="16" l="1"/>
  <c r="T54" i="16"/>
  <c r="I19" i="2" l="1"/>
  <c r="I33" i="16" l="1"/>
  <c r="S16" i="16" l="1"/>
  <c r="H17" i="16"/>
  <c r="S17" i="16" s="1"/>
  <c r="K5" i="5" l="1"/>
  <c r="K4" i="5"/>
  <c r="S24" i="5"/>
  <c r="O14" i="2" s="1"/>
  <c r="T38" i="16"/>
  <c r="T22" i="16"/>
  <c r="T39" i="16" l="1"/>
  <c r="O10" i="2" s="1"/>
  <c r="R19" i="5" l="1"/>
  <c r="I39" i="16" l="1"/>
  <c r="T67" i="16" l="1"/>
  <c r="I38" i="16"/>
  <c r="I32" i="16"/>
  <c r="I74" i="16" l="1"/>
  <c r="I75" i="16" s="1"/>
  <c r="I58" i="16"/>
  <c r="I59" i="16" s="1"/>
  <c r="T66" i="16" l="1"/>
  <c r="H15" i="16"/>
  <c r="T72" i="16"/>
  <c r="H56" i="16"/>
  <c r="T56" i="16" s="1"/>
  <c r="S15" i="16" l="1"/>
  <c r="T65" i="16"/>
  <c r="H74" i="16"/>
  <c r="H75" i="16" s="1"/>
  <c r="S70" i="16"/>
  <c r="T70" i="16"/>
  <c r="S69" i="16"/>
  <c r="S71" i="16"/>
  <c r="T71" i="16"/>
  <c r="S45" i="16"/>
  <c r="T45" i="16"/>
  <c r="S72" i="16"/>
  <c r="K6" i="5"/>
  <c r="K3" i="5"/>
  <c r="T75" i="16" l="1"/>
  <c r="O12" i="2" s="1"/>
  <c r="I22" i="16"/>
  <c r="I20" i="16"/>
  <c r="T53" i="16" l="1"/>
  <c r="S53" i="16"/>
  <c r="S46" i="16"/>
  <c r="H33" i="16"/>
  <c r="S33" i="16" s="1"/>
  <c r="P12" i="2"/>
  <c r="H30" i="16"/>
  <c r="S30" i="16" s="1"/>
  <c r="H14" i="16"/>
  <c r="H20" i="16"/>
  <c r="S20" i="16" s="1"/>
  <c r="T46" i="16" l="1"/>
  <c r="T55" i="16"/>
  <c r="S55" i="16"/>
  <c r="S59" i="16" s="1"/>
  <c r="N11" i="2" s="1"/>
  <c r="H58" i="16"/>
  <c r="H59" i="16" s="1"/>
  <c r="H31" i="16"/>
  <c r="S31" i="16" s="1"/>
  <c r="H32" i="16"/>
  <c r="S32" i="16" s="1"/>
  <c r="H29" i="16"/>
  <c r="H38" i="16" s="1"/>
  <c r="T59" i="16" l="1"/>
  <c r="O11" i="2" s="1"/>
  <c r="O18" i="2" s="1"/>
  <c r="S29" i="16"/>
  <c r="S38" i="16" s="1"/>
  <c r="E6" i="16"/>
  <c r="E5" i="16"/>
  <c r="E4" i="16"/>
  <c r="E3" i="16"/>
  <c r="C1" i="16"/>
  <c r="S22" i="16" l="1"/>
  <c r="S39" i="16" s="1"/>
  <c r="H22" i="16"/>
  <c r="P11" i="2"/>
  <c r="H1" i="5"/>
  <c r="M24" i="5"/>
  <c r="N10" i="2" l="1"/>
  <c r="P10" i="2" s="1"/>
  <c r="H39" i="16"/>
  <c r="H10" i="2" s="1"/>
  <c r="H11" i="2"/>
  <c r="L13" i="5" s="1"/>
  <c r="H12" i="2"/>
  <c r="L14" i="5" s="1"/>
  <c r="L12" i="5" l="1"/>
  <c r="L15" i="5" s="1"/>
  <c r="R17" i="5" s="1"/>
  <c r="H13" i="2"/>
  <c r="R18" i="5" l="1"/>
  <c r="R24" i="5" s="1"/>
  <c r="N14" i="2" s="1"/>
  <c r="L22" i="5" l="1"/>
  <c r="L24" i="5" s="1"/>
  <c r="H14" i="2" s="1"/>
  <c r="P14" i="2"/>
  <c r="H15" i="2" l="1"/>
  <c r="H16" i="2" s="1"/>
  <c r="N18" i="2"/>
  <c r="P19" i="2" l="1"/>
  <c r="H18" i="2"/>
  <c r="H19" i="2" s="1"/>
  <c r="P18" i="2"/>
  <c r="Q17" i="2" s="1"/>
  <c r="Q11" i="2" l="1"/>
  <c r="Q14" i="2"/>
  <c r="Q10" i="2"/>
  <c r="P20" i="2"/>
  <c r="Q12" i="2"/>
  <c r="Q1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Widi Destrianda</author>
  </authors>
  <commentList>
    <comment ref="G15" authorId="0" shapeId="0" xr:uid="{99872D64-1DB3-4AB2-9CDD-209B11EB5BEC}">
      <text>
        <r>
          <rPr>
            <b/>
            <sz val="9"/>
            <color indexed="81"/>
            <rFont val="Tahoma"/>
            <family val="2"/>
          </rPr>
          <t xml:space="preserve"> PROFIT DALAM PERSEN</t>
        </r>
      </text>
    </comment>
    <comment ref="H17" authorId="0" shapeId="0" xr:uid="{98250192-6B71-4DEB-8466-6B3ACCDCFD06}">
      <text>
        <r>
          <rPr>
            <b/>
            <sz val="9"/>
            <color indexed="81"/>
            <rFont val="Tahoma"/>
            <family val="2"/>
          </rPr>
          <t>Asuransi CGL sesuai nilai pertanggungan</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Widi Destrianda</author>
  </authors>
  <commentList>
    <comment ref="G28" authorId="0" shapeId="0" xr:uid="{98B80211-C6AA-4981-8C95-568E86A43D2C}">
      <text>
        <r>
          <rPr>
            <b/>
            <sz val="9"/>
            <color indexed="81"/>
            <rFont val="Tahoma"/>
            <family val="2"/>
          </rPr>
          <t>Pengiriman UNIT dari/ke PT Badak NGL;Data input: 1.500.000;3.250.000;5.000.000</t>
        </r>
      </text>
    </comment>
  </commentList>
</comments>
</file>

<file path=xl/sharedStrings.xml><?xml version="1.0" encoding="utf-8"?>
<sst xmlns="http://schemas.openxmlformats.org/spreadsheetml/2006/main" count="253" uniqueCount="157">
  <si>
    <t>:</t>
  </si>
  <si>
    <t>NO. KONTRAK</t>
  </si>
  <si>
    <t>SCHEDULE</t>
  </si>
  <si>
    <t>LUMPSUM</t>
  </si>
  <si>
    <t>HARGA SATUAN</t>
  </si>
  <si>
    <t>URAIAN</t>
  </si>
  <si>
    <t>HPS</t>
  </si>
  <si>
    <t>Minimum</t>
  </si>
  <si>
    <t>Maximum</t>
  </si>
  <si>
    <t>(REKAPITULASI BIAYA PROYEK)</t>
  </si>
  <si>
    <t>PROYEK</t>
  </si>
  <si>
    <t>NO.KONTRAK</t>
  </si>
  <si>
    <t>SISTEM KONTRAK</t>
  </si>
  <si>
    <t xml:space="preserve">FORM - 1   </t>
  </si>
  <si>
    <t>No.</t>
  </si>
  <si>
    <t>TOTAL                                     (Rp)</t>
  </si>
  <si>
    <t>KETERANGAN</t>
  </si>
  <si>
    <t>1</t>
  </si>
  <si>
    <t>/ Kontrak</t>
  </si>
  <si>
    <t>2</t>
  </si>
  <si>
    <t>BIAYA ALAT</t>
  </si>
  <si>
    <t>3</t>
  </si>
  <si>
    <t>BIAYA MATERIAL</t>
  </si>
  <si>
    <t>PEMBULATAN</t>
  </si>
  <si>
    <t>(ANALISA BIAYA UNIT PEKERJAAN)</t>
  </si>
  <si>
    <t>NO.</t>
  </si>
  <si>
    <t>QTY</t>
  </si>
  <si>
    <t xml:space="preserve"> (ANALISA BIAYA OVERHEAD)</t>
  </si>
  <si>
    <t xml:space="preserve">FORM - 7   </t>
  </si>
  <si>
    <t xml:space="preserve">URAIAN </t>
  </si>
  <si>
    <t>UNIT</t>
  </si>
  <si>
    <t>HARGA  SATUAN</t>
  </si>
  <si>
    <t>TOTAL</t>
  </si>
  <si>
    <t>(Rp)</t>
  </si>
  <si>
    <t>A</t>
  </si>
  <si>
    <t>BIAYA LANGSUNG</t>
  </si>
  <si>
    <t>/Kontrak</t>
  </si>
  <si>
    <t>Sub Total-A</t>
  </si>
  <si>
    <t>B</t>
  </si>
  <si>
    <t>BIAYA TIDAK LANGSUNG (OVERHEAD)</t>
  </si>
  <si>
    <r>
      <t>Biaya Tidak Langsung</t>
    </r>
    <r>
      <rPr>
        <b/>
        <sz val="11"/>
        <color indexed="12"/>
        <rFont val="Calibri"/>
        <family val="2"/>
      </rPr>
      <t xml:space="preserve">Total-B = </t>
    </r>
  </si>
  <si>
    <t>C</t>
  </si>
  <si>
    <r>
      <t xml:space="preserve">Total Biaya Tidak Langsung selama Kontrak </t>
    </r>
    <r>
      <rPr>
        <b/>
        <sz val="11"/>
        <color indexed="12"/>
        <rFont val="Wingdings"/>
        <charset val="2"/>
      </rPr>
      <t>ðð</t>
    </r>
    <r>
      <rPr>
        <b/>
        <sz val="11"/>
        <color indexed="12"/>
        <rFont val="Calibri"/>
        <family val="2"/>
      </rPr>
      <t xml:space="preserve"> Total-B X 18 Bulan</t>
    </r>
  </si>
  <si>
    <t>isikan ke FORM-2 kolom OVERHEAD</t>
  </si>
  <si>
    <t>Mean</t>
  </si>
  <si>
    <t>Variance</t>
  </si>
  <si>
    <t>Statistics Summary</t>
  </si>
  <si>
    <t>Std Dev</t>
  </si>
  <si>
    <t>Skewness</t>
  </si>
  <si>
    <t>Kurtosis</t>
  </si>
  <si>
    <t>Median</t>
  </si>
  <si>
    <t>Mode</t>
  </si>
  <si>
    <t>Left X</t>
  </si>
  <si>
    <t>Left P</t>
  </si>
  <si>
    <t>Right X</t>
  </si>
  <si>
    <t>Right P</t>
  </si>
  <si>
    <t>Diff X</t>
  </si>
  <si>
    <t>Diff P</t>
  </si>
  <si>
    <t>Upper</t>
  </si>
  <si>
    <t>Lower</t>
  </si>
  <si>
    <t>MinLoc</t>
  </si>
  <si>
    <t>MostLoc</t>
  </si>
  <si>
    <t>MaxLoc</t>
  </si>
  <si>
    <t>SheetName</t>
  </si>
  <si>
    <t>$H$25</t>
  </si>
  <si>
    <t>$H$26</t>
  </si>
  <si>
    <t>$H$27</t>
  </si>
  <si>
    <t>Monte Carlo</t>
  </si>
  <si>
    <t>I.</t>
  </si>
  <si>
    <t>PEKERJAAN LUMPSUM (L/S)</t>
  </si>
  <si>
    <t>1.</t>
  </si>
  <si>
    <t>KOMPOSISI CREW</t>
  </si>
  <si>
    <t>FREQ</t>
  </si>
  <si>
    <t xml:space="preserve">TOTAL UPAH </t>
  </si>
  <si>
    <r>
      <t xml:space="preserve">Petunjuk perkalian </t>
    </r>
    <r>
      <rPr>
        <sz val="9"/>
        <rFont val="Wingdings"/>
        <charset val="2"/>
      </rPr>
      <t>ððð</t>
    </r>
  </si>
  <si>
    <t>[1]</t>
  </si>
  <si>
    <t>[2]</t>
  </si>
  <si>
    <t>[3]</t>
  </si>
  <si>
    <t>[4]= [1] x [2] x [3]</t>
  </si>
  <si>
    <t>/ KONTRAK</t>
  </si>
  <si>
    <t>Total Orang =</t>
  </si>
  <si>
    <t>Sub Total-1 =</t>
  </si>
  <si>
    <t>URAIAN BIAYA</t>
  </si>
  <si>
    <t>TOTAL UPAH</t>
  </si>
  <si>
    <t>/KONTRAK</t>
  </si>
  <si>
    <t>Sub Total-2 =</t>
  </si>
  <si>
    <t>SUB TOTAL BIAYA JASA</t>
  </si>
  <si>
    <t>FORM - 4</t>
  </si>
  <si>
    <t xml:space="preserve">BIAYA JASA  </t>
  </si>
  <si>
    <t>BIAYA LUMPSUM</t>
  </si>
  <si>
    <t>TOTAL BIAYA</t>
  </si>
  <si>
    <t xml:space="preserve"> OVERHEAD = ( …%) x (Sub Total)</t>
  </si>
  <si>
    <t>DARI FORM 07</t>
  </si>
  <si>
    <t xml:space="preserve"> PROFIT = ( …%) x (Sub Total + Overhead)</t>
  </si>
  <si>
    <t>BIAYA JASA</t>
  </si>
  <si>
    <t>BIAYA TENAGA KERJA</t>
  </si>
  <si>
    <t>JUMLAH TENAGA KERJA</t>
  </si>
  <si>
    <t>DURASI</t>
  </si>
  <si>
    <t>UPAH ALL IN
(Rp)</t>
  </si>
  <si>
    <t xml:space="preserve">BIAYA PERALATAN </t>
  </si>
  <si>
    <t>BIAYA PERALATAN</t>
  </si>
  <si>
    <t>SUB TOTAL BIAYA PERALATAN</t>
  </si>
  <si>
    <t>SUB TOTAL BIAYA MATERIAL</t>
  </si>
  <si>
    <t>CATATAN :</t>
  </si>
  <si>
    <r>
      <t xml:space="preserve">Formulir ini digunakan hanya sebagai panduan didalam perhitungan penawaran dan bahan evaluasi penawaran, adapun jika terdapat kekurangan dan kelebihan, maka rekanan dapat menyempurnakan sesuai dengan penjelasan lingkup kerja dan dokumen pengadaan dan </t>
    </r>
    <r>
      <rPr>
        <b/>
        <sz val="10"/>
        <color indexed="10"/>
        <rFont val="Tahoma"/>
        <family val="2"/>
      </rPr>
      <t>segala bentuk kesalahan</t>
    </r>
    <r>
      <rPr>
        <sz val="11"/>
        <color theme="1"/>
        <rFont val="Calibri"/>
        <family val="2"/>
        <scheme val="minor"/>
      </rPr>
      <t xml:space="preserve"> dalam penawaran menjadi</t>
    </r>
    <r>
      <rPr>
        <b/>
        <sz val="10"/>
        <rFont val="Tahoma"/>
        <family val="2"/>
      </rPr>
      <t xml:space="preserve"> </t>
    </r>
    <r>
      <rPr>
        <b/>
        <u/>
        <sz val="10"/>
        <rFont val="Tahoma"/>
        <family val="2"/>
      </rPr>
      <t>tanggung jawab rekanan</t>
    </r>
    <r>
      <rPr>
        <b/>
        <sz val="10"/>
        <rFont val="Tahoma"/>
        <family val="2"/>
      </rPr>
      <t>.</t>
    </r>
  </si>
  <si>
    <r>
      <t xml:space="preserve">Untuk lebih mempermudah rekanan dalam melakukan perhitungan, disarankan agar perhitungan dimulai dari </t>
    </r>
    <r>
      <rPr>
        <b/>
        <sz val="10"/>
        <rFont val="Tahoma"/>
        <family val="2"/>
      </rPr>
      <t xml:space="preserve">Form-04, Form-07, </t>
    </r>
    <r>
      <rPr>
        <sz val="11"/>
        <color theme="1"/>
        <rFont val="Calibri"/>
        <family val="2"/>
        <scheme val="minor"/>
      </rPr>
      <t>lalu</t>
    </r>
    <r>
      <rPr>
        <b/>
        <sz val="10"/>
        <rFont val="Tahoma"/>
        <family val="2"/>
      </rPr>
      <t xml:space="preserve"> Form-01,</t>
    </r>
    <r>
      <rPr>
        <sz val="11"/>
        <color theme="1"/>
        <rFont val="Calibri"/>
        <family val="2"/>
        <scheme val="minor"/>
      </rPr>
      <t xml:space="preserve"> serta  membaca keterkaitan perhitungan dari setiap Form. 
Rekanan diperbolehkan melakukan penyesuaian terhadap form ini bila dianggap jumlah baris yang disediakan belum dapat memenuhi kebutuhan rekanan.</t>
    </r>
  </si>
  <si>
    <t>Rekanan diharapkan untuk meneliti ulang setiap perhitungan dan hubungan antar perhitungan disetiap formulir.</t>
  </si>
  <si>
    <t>Nilai penawaran diharapkan mempertimbangkan PPh namun belum termasuk PPN.</t>
  </si>
  <si>
    <t>MATERIAL</t>
  </si>
  <si>
    <t>KDN</t>
  </si>
  <si>
    <t>KLN</t>
  </si>
  <si>
    <t>%TKDN</t>
  </si>
  <si>
    <t>TOTAL NILAI PENAWARAN</t>
  </si>
  <si>
    <t>KOMPONEN NON BIAYA (PROFIT)</t>
  </si>
  <si>
    <t>Komponen Dalam Negeri (KDN)</t>
  </si>
  <si>
    <t>Komponen Luar Negeri (KLN)</t>
  </si>
  <si>
    <t>SUB TOTAL I</t>
  </si>
  <si>
    <t>MOBILISASI DAN DEMOBILISASI CONSTRUCTION PHASE</t>
  </si>
  <si>
    <t>Kendaraan diesel dengan ATPL</t>
  </si>
  <si>
    <t>APD</t>
  </si>
  <si>
    <t>TOTAL HARGA LUMPSUM</t>
  </si>
  <si>
    <t>CGL</t>
  </si>
  <si>
    <t>2,00%</t>
  </si>
  <si>
    <t>98,00%</t>
  </si>
  <si>
    <t>96,00%</t>
  </si>
  <si>
    <t>JASA PEKERJAAN PEMERIKSAAN BAWAH AIR STRUKTUR PILE AREA LOADING DOCK 2 DAN COOLING WATER INTAKE</t>
  </si>
  <si>
    <t>CA-25021</t>
  </si>
  <si>
    <t>Surface cleaning tools</t>
  </si>
  <si>
    <t>Ultrasonic thickness</t>
  </si>
  <si>
    <t>Rebound hammer</t>
  </si>
  <si>
    <t>Alat untuk mengukur potensial proteksi katodik</t>
  </si>
  <si>
    <t>Peralatan pendukung pemeriksaan</t>
  </si>
  <si>
    <t>Kamera digital underwater</t>
  </si>
  <si>
    <t>Tabung selam dan perlangkapan personnel</t>
  </si>
  <si>
    <t>Compressor dan perlengkapan selam lainnya</t>
  </si>
  <si>
    <t>CA-25021 JP PEMERIKSAAN BAWAH AIR STRUKTUR PILE LOADING DOCK 2 DAN COOLING WATER</t>
  </si>
  <si>
    <t>0,16211 seconds</t>
  </si>
  <si>
    <t>PENAWARAN REKANAN</t>
  </si>
  <si>
    <t>TOTAL  BIAYA</t>
  </si>
  <si>
    <t>CGL dengan nilai pertanggungan USD 1,000,000,00</t>
  </si>
  <si>
    <t>Ahli Struktur</t>
  </si>
  <si>
    <t xml:space="preserve">Ahli Material </t>
  </si>
  <si>
    <t>Diving Supervisor</t>
  </si>
  <si>
    <t>Lead Diver</t>
  </si>
  <si>
    <t>Diver NDT Level II</t>
  </si>
  <si>
    <t>Diver Technician</t>
  </si>
  <si>
    <t>Diver</t>
  </si>
  <si>
    <t>Mob Demob Personil</t>
  </si>
  <si>
    <t>Equipment Handling</t>
  </si>
  <si>
    <t>Meal (3x)</t>
  </si>
  <si>
    <t>Penginapan</t>
  </si>
  <si>
    <t>Reporting</t>
  </si>
  <si>
    <t>Permit PBA-HUBLA &amp; KSOP</t>
  </si>
  <si>
    <t>Biaya Perumahan</t>
  </si>
  <si>
    <t>/Bulan</t>
  </si>
  <si>
    <t>Scuba Replacement Package</t>
  </si>
  <si>
    <t>MCU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</si>
</sst>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_(&quot;Rp&quot;* #,##0_);_(&quot;Rp&quot;* \(#,##0\);_(&quot;Rp&quot;* &quot;-&quot;_);_(@_)"/>
    <numFmt numFmtId="165" formatCode="_(* #,##0_);_(* \(#,##0\);_(* &quot;-&quot;_);_(@_)"/>
    <numFmt numFmtId="166" formatCode="_(&quot;Rp&quot;* #,##0.00_);_(&quot;Rp&quot;* \(#,##0.00\);_(&quot;Rp&quot;* &quot;-&quot;??_);_(@_)"/>
    <numFmt numFmtId="167" formatCode="_(* #,##0.00_);_(* \(#,##0.00\);_(* &quot;-&quot;??_);_(@_)"/>
    <numFmt numFmtId="168" formatCode="#,##0\ &quot;BULAN KALENDER&quot;"/>
    <numFmt numFmtId="169" formatCode="&quot;$&quot;#,##0_);\(&quot;$&quot;#,##0\)"/>
    <numFmt numFmtId="170" formatCode="General\ &quot;BULAN&quot;"/>
    <numFmt numFmtId="171" formatCode="#,##0.0000"/>
    <numFmt numFmtId="172" formatCode="_([$USD]\ * #,##0.00_);_([$USD]\ * \(#,##0.00\);_([$USD]\ * &quot;-&quot;??_);_(@_)"/>
    <numFmt numFmtId="173" formatCode="_(&quot;US$&quot;* #,##0.00_);_(&quot;US$&quot;* \(#,##0.00\);_(&quot;US$&quot;* &quot;-&quot;??_);_(@_)"/>
    <numFmt numFmtId="174" formatCode="&quot;Rp&quot;#,##0_);[Red]\(&quot;Rp&quot;#,##0\)"/>
    <numFmt numFmtId="175" formatCode="#,###\ &quot;kali&quot;"/>
    <numFmt numFmtId="176" formatCode="#,###\ \ &quot;orang&quot;"/>
    <numFmt numFmtId="177" formatCode="#,###\ \ &quot;Hari&quot;"/>
    <numFmt numFmtId="178" formatCode="#,##0\ &quot;lot&quot;"/>
    <numFmt numFmtId="179" formatCode="_(* #,##0.00\ &quot;mhrs&quot;_);_(* \(#,##0.00\ &quot;mhrs&quot;\);_(* &quot;..... mhrs&quot;??_);_(@_)"/>
    <numFmt numFmtId="180" formatCode="_-* #,##0.00_-;\-* #,##0.00_-;_-* &quot;-&quot;_-;_-@_-"/>
    <numFmt numFmtId="181" formatCode="#,###\ &quot;bulan&quot;"/>
    <numFmt numFmtId="182" formatCode="#,###\ &quot;orang&quot;"/>
    <numFmt numFmtId="183" formatCode="#,###\ &quot;Lot&quot;"/>
    <numFmt numFmtId="184" formatCode="#,##0\ &quot;Hari&quot;"/>
    <numFmt numFmtId="185" formatCode="_(* #,##0.00_);_(* \(#,##0.00\);_(* &quot;-&quot;_);_(@_)"/>
  </numFmts>
  <fonts count="50" x14ac:knownFonts="1">
    <font>
      <sz val="11"/>
      <color theme="1"/>
      <name val="Calibri"/>
      <family val="2"/>
      <scheme val="minor"/>
    </font>
    <font>
      <sz val="11"/>
      <color theme="1"/>
      <name val="Calibri"/>
      <family val="2"/>
      <scheme val="minor"/>
    </font>
    <font>
      <sz val="10"/>
      <name val="Arial"/>
      <family val="2"/>
    </font>
    <font>
      <b/>
      <sz val="10"/>
      <name val="Arial"/>
      <family val="2"/>
    </font>
    <font>
      <sz val="10"/>
      <name val="Tahoma"/>
      <family val="2"/>
    </font>
    <font>
      <b/>
      <sz val="10"/>
      <name val="Tahoma"/>
      <family val="2"/>
    </font>
    <font>
      <b/>
      <sz val="12"/>
      <name val="Arial"/>
      <family val="2"/>
    </font>
    <font>
      <b/>
      <u/>
      <sz val="10"/>
      <name val="Arial"/>
      <family val="2"/>
    </font>
    <font>
      <sz val="9"/>
      <color indexed="81"/>
      <name val="Tahoma"/>
      <family val="2"/>
    </font>
    <font>
      <b/>
      <sz val="14"/>
      <name val="Calibri"/>
      <family val="2"/>
      <scheme val="minor"/>
    </font>
    <font>
      <b/>
      <sz val="20"/>
      <color indexed="12"/>
      <name val="Calibri"/>
      <family val="2"/>
      <scheme val="minor"/>
    </font>
    <font>
      <sz val="11"/>
      <name val="Calibri"/>
      <family val="2"/>
      <scheme val="minor"/>
    </font>
    <font>
      <sz val="10"/>
      <name val="Calibri"/>
      <family val="2"/>
      <scheme val="minor"/>
    </font>
    <font>
      <sz val="16"/>
      <name val="Calibri"/>
      <family val="2"/>
      <scheme val="minor"/>
    </font>
    <font>
      <sz val="12"/>
      <name val="Calibri"/>
      <family val="2"/>
      <scheme val="minor"/>
    </font>
    <font>
      <b/>
      <sz val="12"/>
      <name val="Calibri"/>
      <family val="2"/>
      <scheme val="minor"/>
    </font>
    <font>
      <sz val="14"/>
      <name val="Calibri"/>
      <family val="2"/>
      <scheme val="minor"/>
    </font>
    <font>
      <b/>
      <sz val="16"/>
      <name val="Calibri"/>
      <family val="2"/>
      <scheme val="minor"/>
    </font>
    <font>
      <b/>
      <sz val="10"/>
      <name val="Calibri"/>
      <family val="2"/>
      <scheme val="minor"/>
    </font>
    <font>
      <b/>
      <sz val="11"/>
      <color indexed="10"/>
      <name val="Calibri"/>
      <family val="2"/>
      <scheme val="minor"/>
    </font>
    <font>
      <b/>
      <sz val="12"/>
      <color rgb="FF0000FF"/>
      <name val="Calibri"/>
      <family val="2"/>
      <scheme val="minor"/>
    </font>
    <font>
      <b/>
      <sz val="12"/>
      <color indexed="10"/>
      <name val="Calibri"/>
      <family val="2"/>
      <scheme val="minor"/>
    </font>
    <font>
      <sz val="11"/>
      <color indexed="10"/>
      <name val="Calibri"/>
      <family val="2"/>
      <scheme val="minor"/>
    </font>
    <font>
      <b/>
      <sz val="18"/>
      <color indexed="12"/>
      <name val="Calibri"/>
      <family val="2"/>
      <scheme val="minor"/>
    </font>
    <font>
      <sz val="8"/>
      <name val="Calibri"/>
      <family val="2"/>
      <scheme val="minor"/>
    </font>
    <font>
      <b/>
      <sz val="11"/>
      <name val="Calibri"/>
      <family val="2"/>
      <scheme val="minor"/>
    </font>
    <font>
      <sz val="11"/>
      <color rgb="FF0000FF"/>
      <name val="Calibri"/>
      <family val="2"/>
      <scheme val="minor"/>
    </font>
    <font>
      <sz val="9"/>
      <name val="Calibri"/>
      <family val="2"/>
      <scheme val="minor"/>
    </font>
    <font>
      <b/>
      <sz val="11"/>
      <color rgb="FFC00000"/>
      <name val="Calibri"/>
      <family val="2"/>
      <scheme val="minor"/>
    </font>
    <font>
      <b/>
      <sz val="11"/>
      <color rgb="FF0000FF"/>
      <name val="Calibri"/>
      <family val="2"/>
      <scheme val="minor"/>
    </font>
    <font>
      <b/>
      <sz val="11"/>
      <color indexed="12"/>
      <name val="Calibri"/>
      <family val="2"/>
    </font>
    <font>
      <b/>
      <sz val="11"/>
      <color indexed="12"/>
      <name val="Wingdings"/>
      <charset val="2"/>
    </font>
    <font>
      <sz val="10"/>
      <color theme="5"/>
      <name val="Calibri"/>
      <family val="2"/>
      <scheme val="minor"/>
    </font>
    <font>
      <b/>
      <u/>
      <sz val="10"/>
      <name val="Calibri"/>
      <family val="2"/>
      <scheme val="minor"/>
    </font>
    <font>
      <b/>
      <sz val="9"/>
      <color indexed="81"/>
      <name val="Tahoma"/>
      <family val="2"/>
    </font>
    <font>
      <b/>
      <sz val="12"/>
      <name val="Arial Narrow"/>
      <family val="2"/>
    </font>
    <font>
      <sz val="8"/>
      <name val="Arial Narrow"/>
      <family val="2"/>
    </font>
    <font>
      <b/>
      <sz val="9"/>
      <name val="Arial"/>
      <family val="2"/>
    </font>
    <font>
      <sz val="9"/>
      <name val="Arial"/>
      <family val="2"/>
    </font>
    <font>
      <sz val="9"/>
      <name val="Wingdings"/>
      <charset val="2"/>
    </font>
    <font>
      <sz val="8"/>
      <name val="Arial"/>
      <family val="2"/>
    </font>
    <font>
      <sz val="9"/>
      <color indexed="8"/>
      <name val="Tahoma"/>
      <family val="2"/>
    </font>
    <font>
      <b/>
      <sz val="9"/>
      <color indexed="14"/>
      <name val="Arial"/>
      <family val="2"/>
    </font>
    <font>
      <b/>
      <sz val="10"/>
      <color rgb="FF0000FF"/>
      <name val="Arial"/>
      <family val="2"/>
    </font>
    <font>
      <b/>
      <sz val="9"/>
      <color indexed="10"/>
      <name val="Arial"/>
      <family val="2"/>
    </font>
    <font>
      <sz val="9"/>
      <color rgb="FFFF0000"/>
      <name val="Arial"/>
      <family val="2"/>
    </font>
    <font>
      <sz val="10"/>
      <name val="MS Sans Serif"/>
      <family val="2"/>
    </font>
    <font>
      <sz val="11"/>
      <name val="Tahoma"/>
      <family val="2"/>
    </font>
    <font>
      <b/>
      <sz val="10"/>
      <color indexed="10"/>
      <name val="Tahoma"/>
      <family val="2"/>
    </font>
    <font>
      <b/>
      <u/>
      <sz val="10"/>
      <name val="Tahoma"/>
      <family val="2"/>
    </font>
  </fonts>
  <fills count="11">
    <fill>
      <patternFill patternType="none"/>
    </fill>
    <fill>
      <patternFill patternType="gray125"/>
    </fill>
    <fill>
      <patternFill patternType="solid">
        <fgColor theme="6" tint="0.39997558519241921"/>
        <bgColor indexed="64"/>
      </patternFill>
    </fill>
    <fill>
      <patternFill patternType="solid">
        <fgColor theme="9" tint="0.79998168889431442"/>
        <bgColor indexed="64"/>
      </patternFill>
    </fill>
    <fill>
      <patternFill patternType="solid">
        <fgColor indexed="22"/>
        <bgColor indexed="64"/>
      </patternFill>
    </fill>
    <fill>
      <patternFill patternType="solid">
        <fgColor indexed="4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9"/>
        <bgColor indexed="64"/>
      </patternFill>
    </fill>
    <fill>
      <patternFill patternType="solid">
        <fgColor theme="4" tint="0.59999389629810485"/>
        <bgColor indexed="64"/>
      </patternFill>
    </fill>
  </fills>
  <borders count="106">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thin">
        <color rgb="FF0000FF"/>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medium">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right/>
      <top style="double">
        <color indexed="64"/>
      </top>
      <bottom/>
      <diagonal/>
    </border>
    <border>
      <left style="thin">
        <color indexed="64"/>
      </left>
      <right style="thin">
        <color indexed="64"/>
      </right>
      <top style="double">
        <color indexed="64"/>
      </top>
      <bottom/>
      <diagonal/>
    </border>
    <border>
      <left style="thin">
        <color indexed="64"/>
      </left>
      <right style="medium">
        <color indexed="64"/>
      </right>
      <top style="double">
        <color indexed="64"/>
      </top>
      <bottom/>
      <diagonal/>
    </border>
  </borders>
  <cellStyleXfs count="29">
    <xf numFmtId="0" fontId="0" fillId="0" borderId="0"/>
    <xf numFmtId="164" fontId="1" fillId="0" borderId="0" applyFont="0" applyFill="0" applyBorder="0" applyAlignment="0" applyProtection="0"/>
    <xf numFmtId="0" fontId="2" fillId="0" borderId="0"/>
    <xf numFmtId="167" fontId="2" fillId="0" borderId="0" applyFont="0" applyFill="0" applyBorder="0" applyAlignment="0" applyProtection="0"/>
    <xf numFmtId="0" fontId="4" fillId="0" borderId="0">
      <alignment vertical="center"/>
    </xf>
    <xf numFmtId="0" fontId="2" fillId="0" borderId="0"/>
    <xf numFmtId="0" fontId="2" fillId="0" borderId="0"/>
    <xf numFmtId="169" fontId="2" fillId="0" borderId="0" applyFont="0" applyFill="0" applyBorder="0" applyAlignment="0" applyProtection="0"/>
    <xf numFmtId="10" fontId="2" fillId="0" borderId="0" applyFont="0" applyFill="0" applyBorder="0" applyAlignment="0" applyProtection="0"/>
    <xf numFmtId="167" fontId="2" fillId="0" borderId="0" applyFont="0" applyFill="0" applyBorder="0" applyAlignment="0" applyProtection="0"/>
    <xf numFmtId="0" fontId="2" fillId="0" borderId="0"/>
    <xf numFmtId="0" fontId="2" fillId="0" borderId="0"/>
    <xf numFmtId="166" fontId="2" fillId="0" borderId="0" applyFont="0" applyFill="0" applyBorder="0" applyAlignment="0" applyProtection="0"/>
    <xf numFmtId="10" fontId="2" fillId="0" borderId="0" applyFont="0" applyFill="0" applyBorder="0" applyAlignment="0" applyProtection="0"/>
    <xf numFmtId="165" fontId="1" fillId="0" borderId="0" applyFont="0" applyFill="0" applyBorder="0" applyAlignment="0" applyProtection="0"/>
    <xf numFmtId="167" fontId="2" fillId="0" borderId="0" applyFont="0" applyFill="0" applyBorder="0" applyAlignment="0" applyProtection="0"/>
    <xf numFmtId="166" fontId="2" fillId="0" borderId="0" applyFont="0" applyFill="0" applyBorder="0" applyAlignment="0" applyProtection="0"/>
    <xf numFmtId="0" fontId="2" fillId="0" borderId="0"/>
    <xf numFmtId="167" fontId="2" fillId="0" borderId="0" applyFont="0" applyFill="0" applyBorder="0" applyAlignment="0" applyProtection="0"/>
    <xf numFmtId="174" fontId="2" fillId="0" borderId="0" applyFont="0" applyFill="0" applyBorder="0" applyAlignment="0" applyProtection="0"/>
    <xf numFmtId="10" fontId="2" fillId="0" borderId="0" applyFont="0" applyFill="0" applyBorder="0" applyAlignment="0" applyProtection="0"/>
    <xf numFmtId="0" fontId="2" fillId="0" borderId="0"/>
    <xf numFmtId="0" fontId="2" fillId="0" borderId="0">
      <alignment vertical="center"/>
    </xf>
    <xf numFmtId="165" fontId="2" fillId="0" borderId="0" applyFont="0" applyFill="0" applyBorder="0" applyAlignment="0" applyProtection="0"/>
    <xf numFmtId="167" fontId="2" fillId="0" borderId="0" applyFont="0" applyFill="0" applyBorder="0" applyProtection="0">
      <alignment vertical="center"/>
    </xf>
    <xf numFmtId="9" fontId="1" fillId="0" borderId="0" applyFont="0" applyFill="0" applyBorder="0" applyAlignment="0" applyProtection="0"/>
    <xf numFmtId="0" fontId="46" fillId="0" borderId="0"/>
    <xf numFmtId="9" fontId="46" fillId="0" borderId="0" applyFont="0" applyFill="0" applyBorder="0" applyAlignment="0" applyProtection="0"/>
    <xf numFmtId="0" fontId="2" fillId="0" borderId="0">
      <alignment vertical="center"/>
    </xf>
  </cellStyleXfs>
  <cellXfs count="527">
    <xf numFmtId="0" fontId="0" fillId="0" borderId="0" xfId="0"/>
    <xf numFmtId="0" fontId="11" fillId="0" borderId="0" xfId="0" applyFont="1" applyAlignment="1">
      <alignment vertical="center"/>
    </xf>
    <xf numFmtId="0" fontId="14" fillId="0" borderId="6" xfId="0" applyFont="1" applyBorder="1" applyAlignment="1">
      <alignment horizontal="left" vertical="center"/>
    </xf>
    <xf numFmtId="0" fontId="14" fillId="0" borderId="0" xfId="0" applyFont="1" applyBorder="1" applyAlignment="1">
      <alignment horizontal="left" vertical="center"/>
    </xf>
    <xf numFmtId="0" fontId="14" fillId="0" borderId="30" xfId="0" applyFont="1" applyBorder="1" applyAlignment="1">
      <alignment horizontal="left" vertical="center"/>
    </xf>
    <xf numFmtId="0" fontId="14" fillId="0" borderId="26" xfId="0" applyFont="1" applyBorder="1" applyAlignment="1">
      <alignment horizontal="left" vertical="center"/>
    </xf>
    <xf numFmtId="0" fontId="12" fillId="0" borderId="31" xfId="0" applyFont="1" applyBorder="1" applyAlignment="1">
      <alignment vertical="center"/>
    </xf>
    <xf numFmtId="0" fontId="12" fillId="0" borderId="32" xfId="0" applyFont="1" applyBorder="1" applyAlignment="1">
      <alignment vertical="center"/>
    </xf>
    <xf numFmtId="0" fontId="9" fillId="0" borderId="33" xfId="0" applyFont="1" applyBorder="1" applyAlignment="1">
      <alignment horizontal="right" vertical="center"/>
    </xf>
    <xf numFmtId="0" fontId="15" fillId="2" borderId="34" xfId="0" applyFont="1" applyFill="1" applyBorder="1" applyAlignment="1">
      <alignment horizontal="center" vertical="center"/>
    </xf>
    <xf numFmtId="0" fontId="15" fillId="2" borderId="37" xfId="0" applyFont="1" applyFill="1" applyBorder="1" applyAlignment="1">
      <alignment horizontal="center" vertical="center"/>
    </xf>
    <xf numFmtId="0" fontId="15" fillId="6" borderId="38" xfId="0" applyFont="1" applyFill="1" applyBorder="1" applyAlignment="1">
      <alignment horizontal="center" vertical="center"/>
    </xf>
    <xf numFmtId="0" fontId="15" fillId="6" borderId="39" xfId="0" applyFont="1" applyFill="1" applyBorder="1" applyAlignment="1">
      <alignment horizontal="center" vertical="center"/>
    </xf>
    <xf numFmtId="0" fontId="15" fillId="6" borderId="40" xfId="0" applyFont="1" applyFill="1" applyBorder="1" applyAlignment="1">
      <alignment horizontal="center" vertical="center"/>
    </xf>
    <xf numFmtId="0" fontId="14" fillId="0" borderId="41" xfId="0" quotePrefix="1" applyFont="1" applyBorder="1" applyAlignment="1">
      <alignment horizontal="center" vertical="center"/>
    </xf>
    <xf numFmtId="0" fontId="12" fillId="0" borderId="42" xfId="0" quotePrefix="1" applyFont="1" applyFill="1" applyBorder="1" applyAlignment="1">
      <alignment horizontal="center" vertical="center"/>
    </xf>
    <xf numFmtId="0" fontId="12" fillId="0" borderId="42" xfId="0" applyFont="1" applyFill="1" applyBorder="1" applyAlignment="1">
      <alignment horizontal="center" vertical="center"/>
    </xf>
    <xf numFmtId="0" fontId="18" fillId="0" borderId="42" xfId="0" applyFont="1" applyFill="1" applyBorder="1" applyAlignment="1">
      <alignment horizontal="center" vertical="center"/>
    </xf>
    <xf numFmtId="0" fontId="19" fillId="0" borderId="0" xfId="0" applyFont="1" applyAlignment="1">
      <alignment vertical="center"/>
    </xf>
    <xf numFmtId="0" fontId="14" fillId="7" borderId="43" xfId="0" quotePrefix="1" applyFont="1" applyFill="1" applyBorder="1" applyAlignment="1">
      <alignment horizontal="center" vertical="center"/>
    </xf>
    <xf numFmtId="0" fontId="20" fillId="7" borderId="44" xfId="0" applyFont="1" applyFill="1" applyBorder="1" applyAlignment="1">
      <alignment horizontal="left" vertical="center"/>
    </xf>
    <xf numFmtId="0" fontId="21" fillId="7" borderId="44" xfId="0" applyFont="1" applyFill="1" applyBorder="1" applyAlignment="1">
      <alignment horizontal="left" vertical="center"/>
    </xf>
    <xf numFmtId="0" fontId="21" fillId="7" borderId="45" xfId="0" applyFont="1" applyFill="1" applyBorder="1" applyAlignment="1">
      <alignment horizontal="left" vertical="center"/>
    </xf>
    <xf numFmtId="0" fontId="20" fillId="7" borderId="47" xfId="0" applyFont="1" applyFill="1" applyBorder="1" applyAlignment="1">
      <alignment horizontal="center" vertical="center"/>
    </xf>
    <xf numFmtId="0" fontId="22" fillId="0" borderId="0" xfId="0" applyFont="1" applyAlignment="1">
      <alignment vertical="center"/>
    </xf>
    <xf numFmtId="0" fontId="15" fillId="0" borderId="0" xfId="0" applyFont="1" applyBorder="1" applyAlignment="1">
      <alignment vertical="center"/>
    </xf>
    <xf numFmtId="0" fontId="12" fillId="0" borderId="0" xfId="0" applyFont="1" applyAlignment="1">
      <alignment vertical="center"/>
    </xf>
    <xf numFmtId="0" fontId="12" fillId="0" borderId="0" xfId="0" applyFont="1" applyBorder="1" applyAlignment="1">
      <alignment vertical="center"/>
    </xf>
    <xf numFmtId="0" fontId="12" fillId="0" borderId="0" xfId="0" quotePrefix="1" applyFont="1" applyBorder="1" applyAlignment="1">
      <alignment horizontal="right" vertical="top"/>
    </xf>
    <xf numFmtId="0" fontId="12" fillId="0" borderId="0" xfId="0" quotePrefix="1" applyFont="1" applyBorder="1" applyAlignment="1">
      <alignment horizontal="right" vertical="center"/>
    </xf>
    <xf numFmtId="0" fontId="12" fillId="0" borderId="0" xfId="0" quotePrefix="1" applyFont="1" applyAlignment="1">
      <alignment horizontal="right" vertical="center"/>
    </xf>
    <xf numFmtId="0" fontId="15" fillId="0" borderId="20" xfId="0" applyFont="1" applyBorder="1" applyAlignment="1">
      <alignment vertical="center"/>
    </xf>
    <xf numFmtId="0" fontId="15" fillId="0" borderId="21" xfId="0" applyFont="1" applyBorder="1" applyAlignment="1">
      <alignment vertical="center"/>
    </xf>
    <xf numFmtId="167" fontId="24" fillId="0" borderId="0" xfId="9" applyFont="1" applyFill="1" applyBorder="1" applyAlignment="1">
      <alignment vertical="center"/>
    </xf>
    <xf numFmtId="167" fontId="24" fillId="0" borderId="0" xfId="9" applyNumberFormat="1" applyFont="1" applyFill="1" applyBorder="1" applyAlignment="1">
      <alignment vertical="center"/>
    </xf>
    <xf numFmtId="167" fontId="24" fillId="0" borderId="0" xfId="9" applyNumberFormat="1" applyFont="1" applyFill="1" applyAlignment="1">
      <alignment vertical="center"/>
    </xf>
    <xf numFmtId="167" fontId="24" fillId="0" borderId="0" xfId="9" applyFont="1" applyFill="1" applyAlignment="1">
      <alignment vertical="center"/>
    </xf>
    <xf numFmtId="0" fontId="24" fillId="0" borderId="0" xfId="0" applyFont="1" applyFill="1" applyAlignment="1">
      <alignment vertical="center"/>
    </xf>
    <xf numFmtId="0" fontId="14" fillId="0" borderId="6" xfId="0" applyFont="1" applyBorder="1" applyAlignment="1">
      <alignment vertical="center"/>
    </xf>
    <xf numFmtId="0" fontId="14" fillId="0" borderId="22" xfId="0" applyFont="1" applyBorder="1" applyAlignment="1">
      <alignment vertical="center"/>
    </xf>
    <xf numFmtId="0" fontId="14" fillId="0" borderId="6" xfId="0" applyFont="1" applyFill="1" applyBorder="1" applyAlignment="1">
      <alignment horizontal="left" vertical="center"/>
    </xf>
    <xf numFmtId="0" fontId="24" fillId="0" borderId="0" xfId="0" applyFont="1" applyFill="1" applyBorder="1" applyAlignment="1">
      <alignment horizontal="center" vertical="center"/>
    </xf>
    <xf numFmtId="0" fontId="24" fillId="0" borderId="0" xfId="0" applyFont="1" applyFill="1" applyBorder="1" applyAlignment="1">
      <alignment vertical="center"/>
    </xf>
    <xf numFmtId="0" fontId="12" fillId="0" borderId="6" xfId="0" applyFont="1" applyBorder="1" applyAlignment="1">
      <alignment vertical="center"/>
    </xf>
    <xf numFmtId="0" fontId="12" fillId="0" borderId="22" xfId="0" applyFont="1" applyBorder="1" applyAlignment="1">
      <alignment vertical="center"/>
    </xf>
    <xf numFmtId="0" fontId="15" fillId="0" borderId="6" xfId="0" applyFont="1" applyBorder="1" applyAlignment="1">
      <alignment vertical="center"/>
    </xf>
    <xf numFmtId="0" fontId="15" fillId="0" borderId="22" xfId="0" applyFont="1" applyBorder="1" applyAlignment="1">
      <alignment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24" fillId="0" borderId="13" xfId="0" applyFont="1" applyFill="1" applyBorder="1" applyAlignment="1">
      <alignment vertical="center"/>
    </xf>
    <xf numFmtId="167" fontId="12" fillId="0" borderId="13" xfId="9" applyFont="1" applyBorder="1" applyAlignment="1">
      <alignment horizontal="center" vertical="center"/>
    </xf>
    <xf numFmtId="164" fontId="12" fillId="0" borderId="13" xfId="1" applyFont="1" applyBorder="1" applyAlignment="1">
      <alignment horizontal="center" vertical="center"/>
    </xf>
    <xf numFmtId="0" fontId="9" fillId="0" borderId="14" xfId="0" applyFont="1" applyBorder="1" applyAlignment="1">
      <alignment horizontal="right" vertical="center"/>
    </xf>
    <xf numFmtId="4" fontId="12" fillId="0" borderId="0" xfId="0" applyNumberFormat="1" applyFont="1" applyAlignment="1">
      <alignment vertical="center"/>
    </xf>
    <xf numFmtId="167" fontId="12" fillId="0" borderId="0" xfId="0" applyNumberFormat="1" applyFont="1" applyAlignment="1">
      <alignment vertical="center"/>
    </xf>
    <xf numFmtId="171" fontId="12" fillId="0" borderId="0" xfId="0" applyNumberFormat="1" applyFont="1" applyAlignment="1">
      <alignment vertical="center"/>
    </xf>
    <xf numFmtId="0" fontId="12" fillId="0" borderId="0" xfId="0" applyFont="1" applyBorder="1" applyAlignment="1">
      <alignment horizontal="center" vertical="center"/>
    </xf>
    <xf numFmtId="0" fontId="12" fillId="0" borderId="0" xfId="0" applyFont="1" applyBorder="1" applyAlignment="1">
      <alignment horizontal="left" vertical="center"/>
    </xf>
    <xf numFmtId="0" fontId="12" fillId="0" borderId="0" xfId="0" applyFont="1" applyAlignment="1">
      <alignment horizontal="center" vertical="center"/>
    </xf>
    <xf numFmtId="0" fontId="12" fillId="0" borderId="0" xfId="0" applyFont="1" applyAlignment="1">
      <alignment horizontal="left" vertical="center"/>
    </xf>
    <xf numFmtId="0" fontId="15" fillId="0" borderId="1" xfId="0" applyFont="1" applyBorder="1" applyAlignment="1">
      <alignment vertical="center"/>
    </xf>
    <xf numFmtId="0" fontId="15" fillId="0" borderId="2" xfId="0" applyFont="1" applyBorder="1" applyAlignment="1">
      <alignment vertical="center"/>
    </xf>
    <xf numFmtId="0" fontId="12" fillId="0" borderId="2" xfId="0" applyFont="1" applyBorder="1" applyAlignment="1">
      <alignment horizontal="center" vertical="center"/>
    </xf>
    <xf numFmtId="0" fontId="23" fillId="0" borderId="2" xfId="0" applyFont="1" applyFill="1" applyBorder="1" applyAlignment="1">
      <alignment vertical="center"/>
    </xf>
    <xf numFmtId="0" fontId="23" fillId="0" borderId="28" xfId="0" applyFont="1" applyFill="1" applyBorder="1" applyAlignment="1">
      <alignment vertical="center"/>
    </xf>
    <xf numFmtId="167" fontId="24" fillId="0" borderId="0" xfId="9" applyFont="1" applyAlignment="1">
      <alignment horizontal="center" vertical="center"/>
    </xf>
    <xf numFmtId="0" fontId="24" fillId="0" borderId="0" xfId="0" applyFont="1" applyAlignment="1">
      <alignment horizontal="center" vertical="center"/>
    </xf>
    <xf numFmtId="0" fontId="16" fillId="0" borderId="5" xfId="0" applyFont="1" applyBorder="1" applyAlignment="1">
      <alignment vertical="center"/>
    </xf>
    <xf numFmtId="0" fontId="16" fillId="0" borderId="0" xfId="0" applyFont="1" applyBorder="1" applyAlignment="1">
      <alignment vertical="center"/>
    </xf>
    <xf numFmtId="0" fontId="9" fillId="0" borderId="0" xfId="0" applyFont="1" applyFill="1" applyBorder="1" applyAlignment="1">
      <alignment vertical="center"/>
    </xf>
    <xf numFmtId="0" fontId="9" fillId="0" borderId="22" xfId="0" applyFont="1" applyFill="1" applyBorder="1" applyAlignment="1">
      <alignment vertical="center"/>
    </xf>
    <xf numFmtId="0" fontId="12" fillId="0" borderId="22" xfId="0" applyFont="1" applyBorder="1" applyAlignment="1">
      <alignment horizontal="center" vertical="center"/>
    </xf>
    <xf numFmtId="0" fontId="14" fillId="0" borderId="0" xfId="0" applyFont="1" applyBorder="1" applyAlignment="1">
      <alignment horizontal="left" vertical="center" indent="1"/>
    </xf>
    <xf numFmtId="0" fontId="15" fillId="0" borderId="0" xfId="0" applyFont="1" applyBorder="1" applyAlignment="1">
      <alignment vertical="center" wrapText="1"/>
    </xf>
    <xf numFmtId="167" fontId="15" fillId="0" borderId="0" xfId="0" applyNumberFormat="1" applyFont="1" applyBorder="1" applyAlignment="1">
      <alignment vertical="center" wrapText="1"/>
    </xf>
    <xf numFmtId="167" fontId="15" fillId="0" borderId="0" xfId="0" applyNumberFormat="1" applyFont="1" applyBorder="1" applyAlignment="1">
      <alignment vertical="center"/>
    </xf>
    <xf numFmtId="170" fontId="15" fillId="0" borderId="0" xfId="0" applyNumberFormat="1" applyFont="1" applyBorder="1" applyAlignment="1">
      <alignment vertical="center"/>
    </xf>
    <xf numFmtId="0" fontId="12" fillId="0" borderId="57" xfId="0" applyFont="1" applyBorder="1" applyAlignment="1">
      <alignment horizontal="center" vertical="center"/>
    </xf>
    <xf numFmtId="0" fontId="9" fillId="0" borderId="15" xfId="0" applyFont="1" applyBorder="1" applyAlignment="1">
      <alignment horizontal="right" vertical="center"/>
    </xf>
    <xf numFmtId="0" fontId="12" fillId="0" borderId="5" xfId="0" applyFont="1" applyBorder="1" applyAlignment="1">
      <alignment horizontal="center" vertical="center"/>
    </xf>
    <xf numFmtId="167" fontId="12" fillId="0" borderId="0" xfId="9" applyFont="1" applyBorder="1" applyAlignment="1">
      <alignment horizontal="center" vertical="center"/>
    </xf>
    <xf numFmtId="0" fontId="12" fillId="0" borderId="7" xfId="0" applyFont="1" applyBorder="1" applyAlignment="1">
      <alignment horizontal="center" vertical="center"/>
    </xf>
    <xf numFmtId="167" fontId="25" fillId="2" borderId="49" xfId="9" applyFont="1" applyFill="1" applyBorder="1" applyAlignment="1">
      <alignment horizontal="center" vertical="center"/>
    </xf>
    <xf numFmtId="167" fontId="25" fillId="2" borderId="49" xfId="9" applyFont="1" applyFill="1" applyBorder="1" applyAlignment="1">
      <alignment horizontal="center"/>
    </xf>
    <xf numFmtId="167" fontId="27" fillId="0" borderId="0" xfId="9" applyFont="1" applyAlignment="1">
      <alignment horizontal="center" vertical="center"/>
    </xf>
    <xf numFmtId="0" fontId="27" fillId="0" borderId="0" xfId="0" applyFont="1" applyAlignment="1">
      <alignment horizontal="center" vertical="center"/>
    </xf>
    <xf numFmtId="167" fontId="25" fillId="2" borderId="61" xfId="9" applyFont="1" applyFill="1" applyBorder="1" applyAlignment="1">
      <alignment horizontal="center" vertical="center"/>
    </xf>
    <xf numFmtId="0" fontId="25" fillId="6" borderId="63" xfId="0" applyFont="1" applyFill="1" applyBorder="1" applyAlignment="1">
      <alignment horizontal="center" vertical="center"/>
    </xf>
    <xf numFmtId="0" fontId="25" fillId="6" borderId="50" xfId="0" applyFont="1" applyFill="1" applyBorder="1" applyAlignment="1">
      <alignment horizontal="left" vertical="center"/>
    </xf>
    <xf numFmtId="0" fontId="25" fillId="6" borderId="64" xfId="0" applyFont="1" applyFill="1" applyBorder="1" applyAlignment="1">
      <alignment horizontal="left" vertical="center"/>
    </xf>
    <xf numFmtId="0" fontId="11" fillId="0" borderId="50" xfId="0" applyFont="1" applyFill="1" applyBorder="1" applyAlignment="1">
      <alignment vertical="center"/>
    </xf>
    <xf numFmtId="0" fontId="11" fillId="0" borderId="48" xfId="0" applyFont="1" applyFill="1" applyBorder="1" applyAlignment="1">
      <alignment vertical="center"/>
    </xf>
    <xf numFmtId="167" fontId="19" fillId="0" borderId="48" xfId="9" applyFont="1" applyFill="1" applyBorder="1" applyAlignment="1">
      <alignment horizontal="center" vertical="center"/>
    </xf>
    <xf numFmtId="166" fontId="11" fillId="0" borderId="48" xfId="9" applyNumberFormat="1" applyFont="1" applyFill="1" applyBorder="1" applyAlignment="1">
      <alignment horizontal="center" vertical="center"/>
    </xf>
    <xf numFmtId="0" fontId="11" fillId="0" borderId="65" xfId="0" applyFont="1" applyFill="1" applyBorder="1" applyAlignment="1">
      <alignment horizontal="center" vertical="center"/>
    </xf>
    <xf numFmtId="167" fontId="24" fillId="0" borderId="0" xfId="9" applyFont="1" applyFill="1" applyAlignment="1">
      <alignment horizontal="center" vertical="center"/>
    </xf>
    <xf numFmtId="0" fontId="24" fillId="0" borderId="0" xfId="0" applyFont="1" applyFill="1" applyAlignment="1">
      <alignment horizontal="center" vertical="center"/>
    </xf>
    <xf numFmtId="0" fontId="26" fillId="0" borderId="63" xfId="0" applyFont="1" applyBorder="1" applyAlignment="1">
      <alignment horizontal="left" vertical="center" indent="1"/>
    </xf>
    <xf numFmtId="0" fontId="11" fillId="0" borderId="50" xfId="0" applyFont="1" applyFill="1" applyBorder="1" applyAlignment="1">
      <alignment horizontal="left" vertical="center"/>
    </xf>
    <xf numFmtId="0" fontId="25" fillId="0" borderId="64" xfId="0" applyFont="1" applyFill="1" applyBorder="1" applyAlignment="1">
      <alignment horizontal="left" vertical="center"/>
    </xf>
    <xf numFmtId="0" fontId="11" fillId="0" borderId="48" xfId="0" applyFont="1" applyFill="1" applyBorder="1" applyAlignment="1">
      <alignment horizontal="center" vertical="center"/>
    </xf>
    <xf numFmtId="167" fontId="19" fillId="0" borderId="64" xfId="9" applyFont="1" applyFill="1" applyBorder="1" applyAlignment="1">
      <alignment horizontal="center" vertical="center"/>
    </xf>
    <xf numFmtId="167" fontId="11" fillId="0" borderId="50" xfId="9" applyFont="1" applyBorder="1" applyAlignment="1">
      <alignment horizontal="center" vertical="center"/>
    </xf>
    <xf numFmtId="0" fontId="11" fillId="0" borderId="66" xfId="0" quotePrefix="1" applyFont="1" applyBorder="1" applyAlignment="1">
      <alignment horizontal="center" vertical="center"/>
    </xf>
    <xf numFmtId="0" fontId="11" fillId="0" borderId="67" xfId="0" applyFont="1" applyBorder="1" applyAlignment="1">
      <alignment horizontal="center" vertical="center"/>
    </xf>
    <xf numFmtId="0" fontId="11" fillId="6" borderId="48" xfId="0" applyFont="1" applyFill="1" applyBorder="1" applyAlignment="1">
      <alignment horizontal="center" vertical="center"/>
    </xf>
    <xf numFmtId="172" fontId="11" fillId="6" borderId="48" xfId="12" applyNumberFormat="1" applyFont="1" applyFill="1" applyBorder="1" applyAlignment="1">
      <alignment horizontal="center" vertical="center"/>
    </xf>
    <xf numFmtId="166" fontId="11" fillId="0" borderId="48" xfId="12" applyNumberFormat="1" applyFont="1" applyBorder="1" applyAlignment="1">
      <alignment horizontal="center" vertical="center"/>
    </xf>
    <xf numFmtId="0" fontId="11" fillId="0" borderId="68" xfId="0" applyFont="1" applyBorder="1" applyAlignment="1">
      <alignment horizontal="center" vertical="center"/>
    </xf>
    <xf numFmtId="167" fontId="25" fillId="6" borderId="55" xfId="9" applyFont="1" applyFill="1" applyBorder="1" applyAlignment="1">
      <alignment vertical="center"/>
    </xf>
    <xf numFmtId="0" fontId="11" fillId="6" borderId="54" xfId="0" applyFont="1" applyFill="1" applyBorder="1" applyAlignment="1">
      <alignment horizontal="center" vertical="center"/>
    </xf>
    <xf numFmtId="167" fontId="25" fillId="6" borderId="55" xfId="9" applyFont="1" applyFill="1" applyBorder="1" applyAlignment="1">
      <alignment horizontal="center" vertical="center"/>
    </xf>
    <xf numFmtId="166" fontId="11" fillId="0" borderId="54" xfId="12" applyNumberFormat="1" applyFont="1" applyBorder="1" applyAlignment="1">
      <alignment horizontal="center" vertical="center"/>
    </xf>
    <xf numFmtId="0" fontId="11" fillId="0" borderId="70" xfId="0" applyFont="1" applyBorder="1" applyAlignment="1">
      <alignment horizontal="center" vertical="center"/>
    </xf>
    <xf numFmtId="0" fontId="11" fillId="0" borderId="71" xfId="0" applyFont="1" applyBorder="1" applyAlignment="1">
      <alignment horizontal="center" vertical="center"/>
    </xf>
    <xf numFmtId="0" fontId="28" fillId="0" borderId="72" xfId="0" applyFont="1" applyBorder="1" applyAlignment="1">
      <alignment vertical="center"/>
    </xf>
    <xf numFmtId="0" fontId="28" fillId="0" borderId="73" xfId="0" applyFont="1" applyBorder="1" applyAlignment="1">
      <alignment vertical="center"/>
    </xf>
    <xf numFmtId="0" fontId="25" fillId="0" borderId="74" xfId="0" applyFont="1" applyBorder="1" applyAlignment="1">
      <alignment horizontal="right" vertical="center"/>
    </xf>
    <xf numFmtId="167" fontId="11" fillId="0" borderId="72" xfId="9" applyFont="1" applyBorder="1" applyAlignment="1">
      <alignment horizontal="center" vertical="center"/>
    </xf>
    <xf numFmtId="0" fontId="11" fillId="0" borderId="75" xfId="0" applyFont="1" applyBorder="1" applyAlignment="1">
      <alignment horizontal="center" vertical="center"/>
    </xf>
    <xf numFmtId="0" fontId="25" fillId="6" borderId="12" xfId="0" applyFont="1" applyFill="1" applyBorder="1" applyAlignment="1">
      <alignment horizontal="left" vertical="center"/>
    </xf>
    <xf numFmtId="0" fontId="25" fillId="6" borderId="13" xfId="0" applyFont="1" applyFill="1" applyBorder="1" applyAlignment="1">
      <alignment horizontal="left" vertical="center"/>
    </xf>
    <xf numFmtId="0" fontId="25" fillId="0" borderId="13" xfId="0" applyFont="1" applyFill="1" applyBorder="1" applyAlignment="1">
      <alignment horizontal="left" vertical="center"/>
    </xf>
    <xf numFmtId="167" fontId="11" fillId="0" borderId="13" xfId="9" applyFont="1" applyFill="1" applyBorder="1" applyAlignment="1">
      <alignment horizontal="center" vertical="center"/>
    </xf>
    <xf numFmtId="167" fontId="11" fillId="0" borderId="0" xfId="9" applyFont="1" applyBorder="1" applyAlignment="1">
      <alignment horizontal="center" vertical="center"/>
    </xf>
    <xf numFmtId="0" fontId="11" fillId="0" borderId="15" xfId="0" applyFont="1" applyFill="1" applyBorder="1" applyAlignment="1">
      <alignment horizontal="center" vertical="center"/>
    </xf>
    <xf numFmtId="167" fontId="11" fillId="0" borderId="52" xfId="9" applyFont="1" applyBorder="1" applyAlignment="1">
      <alignment horizontal="center" vertical="center"/>
    </xf>
    <xf numFmtId="0" fontId="11" fillId="0" borderId="48" xfId="0" applyFont="1" applyBorder="1" applyAlignment="1">
      <alignment horizontal="center" vertical="center"/>
    </xf>
    <xf numFmtId="0" fontId="11" fillId="0" borderId="80" xfId="0" applyFont="1" applyBorder="1" applyAlignment="1">
      <alignment horizontal="center" vertical="center"/>
    </xf>
    <xf numFmtId="167" fontId="11" fillId="0" borderId="53" xfId="9" applyFont="1" applyBorder="1" applyAlignment="1">
      <alignment horizontal="center" vertical="center"/>
    </xf>
    <xf numFmtId="167" fontId="11" fillId="0" borderId="77" xfId="9" applyFont="1" applyBorder="1" applyAlignment="1">
      <alignment horizontal="center" vertical="center"/>
    </xf>
    <xf numFmtId="0" fontId="11" fillId="0" borderId="81" xfId="0" applyFont="1" applyBorder="1" applyAlignment="1">
      <alignment horizontal="center" vertical="center"/>
    </xf>
    <xf numFmtId="0" fontId="11" fillId="0" borderId="41" xfId="0" applyFont="1" applyBorder="1" applyAlignment="1">
      <alignment horizontal="right" vertical="center"/>
    </xf>
    <xf numFmtId="167" fontId="25" fillId="0" borderId="16" xfId="9" applyFont="1" applyBorder="1" applyAlignment="1">
      <alignment horizontal="center" vertical="center"/>
    </xf>
    <xf numFmtId="0" fontId="25" fillId="5" borderId="42" xfId="0" applyFont="1" applyFill="1" applyBorder="1" applyAlignment="1">
      <alignment horizontal="center" vertical="center"/>
    </xf>
    <xf numFmtId="0" fontId="11" fillId="0" borderId="8" xfId="0" applyFont="1" applyBorder="1" applyAlignment="1">
      <alignment horizontal="center" vertical="center"/>
    </xf>
    <xf numFmtId="0" fontId="11" fillId="0" borderId="13" xfId="0" applyFont="1" applyBorder="1" applyAlignment="1">
      <alignment horizontal="center" vertical="center"/>
    </xf>
    <xf numFmtId="167" fontId="11" fillId="0" borderId="13" xfId="9" applyFont="1" applyBorder="1" applyAlignment="1">
      <alignment vertical="center"/>
    </xf>
    <xf numFmtId="173" fontId="11" fillId="0" borderId="13" xfId="9" applyNumberFormat="1" applyFont="1" applyBorder="1" applyAlignment="1">
      <alignment horizontal="center" vertical="center"/>
    </xf>
    <xf numFmtId="0" fontId="11" fillId="0" borderId="11" xfId="0" applyFont="1" applyBorder="1" applyAlignment="1">
      <alignment horizontal="center" vertical="center"/>
    </xf>
    <xf numFmtId="0" fontId="25" fillId="0" borderId="41" xfId="0" applyFont="1" applyBorder="1" applyAlignment="1">
      <alignment horizontal="center" vertical="center"/>
    </xf>
    <xf numFmtId="167" fontId="26" fillId="7" borderId="16" xfId="9" applyFont="1" applyFill="1" applyBorder="1" applyAlignment="1">
      <alignment horizontal="center" vertical="center"/>
    </xf>
    <xf numFmtId="0" fontId="25" fillId="7" borderId="70" xfId="0" applyFont="1" applyFill="1" applyBorder="1" applyAlignment="1">
      <alignment horizontal="center" vertical="center"/>
    </xf>
    <xf numFmtId="0" fontId="12" fillId="0" borderId="18" xfId="0" applyFont="1" applyBorder="1" applyAlignment="1">
      <alignment horizontal="center" vertical="center"/>
    </xf>
    <xf numFmtId="167" fontId="12" fillId="0" borderId="18" xfId="9"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167" fontId="12" fillId="0" borderId="26" xfId="9" applyFont="1" applyBorder="1" applyAlignment="1">
      <alignment horizontal="center" vertical="center"/>
    </xf>
    <xf numFmtId="0" fontId="12" fillId="0" borderId="27" xfId="0" applyFont="1" applyBorder="1" applyAlignment="1">
      <alignment horizontal="center" vertical="center"/>
    </xf>
    <xf numFmtId="0" fontId="33" fillId="0" borderId="0" xfId="0" applyFont="1" applyBorder="1" applyAlignment="1">
      <alignment vertical="center"/>
    </xf>
    <xf numFmtId="167" fontId="12" fillId="0" borderId="0" xfId="9" applyFont="1" applyAlignment="1">
      <alignment horizontal="center" vertical="center"/>
    </xf>
    <xf numFmtId="0" fontId="12" fillId="0" borderId="0" xfId="0" quotePrefix="1" applyFont="1" applyFill="1" applyBorder="1" applyAlignment="1">
      <alignment horizontal="right" vertical="center"/>
    </xf>
    <xf numFmtId="0" fontId="14" fillId="0" borderId="0" xfId="0" applyFont="1" applyBorder="1" applyAlignment="1">
      <alignment vertical="center"/>
    </xf>
    <xf numFmtId="0" fontId="12" fillId="0" borderId="0" xfId="0" quotePrefix="1" applyNumberFormat="1" applyFont="1" applyFill="1" applyBorder="1" applyAlignment="1" applyProtection="1">
      <alignment vertical="center" wrapText="1"/>
    </xf>
    <xf numFmtId="0" fontId="12" fillId="0" borderId="0" xfId="0" quotePrefix="1" applyFont="1" applyFill="1" applyBorder="1" applyAlignment="1" applyProtection="1">
      <alignment horizontal="right" vertical="center" wrapText="1"/>
    </xf>
    <xf numFmtId="9" fontId="0" fillId="0" borderId="0" xfId="0" applyNumberFormat="1"/>
    <xf numFmtId="22" fontId="0" fillId="0" borderId="0" xfId="0" applyNumberFormat="1"/>
    <xf numFmtId="0" fontId="12" fillId="0" borderId="0" xfId="0" applyFont="1" applyAlignment="1">
      <alignment vertical="center"/>
    </xf>
    <xf numFmtId="0" fontId="6" fillId="5" borderId="82" xfId="0" applyFont="1" applyFill="1" applyBorder="1" applyAlignment="1">
      <alignment horizontal="center" vertical="center"/>
    </xf>
    <xf numFmtId="0" fontId="6" fillId="5" borderId="13" xfId="0" applyFont="1" applyFill="1" applyBorder="1" applyAlignment="1">
      <alignment horizontal="left" vertical="center"/>
    </xf>
    <xf numFmtId="0" fontId="6" fillId="5" borderId="13" xfId="0" applyFont="1" applyFill="1" applyBorder="1" applyAlignment="1">
      <alignment horizontal="center" vertical="center"/>
    </xf>
    <xf numFmtId="0" fontId="35" fillId="5" borderId="13" xfId="0" applyFont="1" applyFill="1" applyBorder="1" applyAlignment="1">
      <alignment vertical="center"/>
    </xf>
    <xf numFmtId="167" fontId="6" fillId="5" borderId="13" xfId="15" applyFont="1" applyFill="1" applyBorder="1" applyAlignment="1">
      <alignment horizontal="center" vertical="center"/>
    </xf>
    <xf numFmtId="0" fontId="6" fillId="5" borderId="39" xfId="0" applyFont="1" applyFill="1" applyBorder="1" applyAlignment="1">
      <alignment horizontal="center" vertical="center"/>
    </xf>
    <xf numFmtId="0" fontId="35" fillId="0" borderId="0" xfId="0" applyFont="1" applyAlignment="1">
      <alignment vertical="center"/>
    </xf>
    <xf numFmtId="0" fontId="2" fillId="0" borderId="5" xfId="17" applyBorder="1" applyAlignment="1">
      <alignment horizontal="center" vertical="center"/>
    </xf>
    <xf numFmtId="0" fontId="2" fillId="0" borderId="0" xfId="18" applyNumberFormat="1" applyBorder="1" applyAlignment="1">
      <alignment horizontal="center" vertical="center"/>
    </xf>
    <xf numFmtId="0" fontId="2" fillId="0" borderId="0" xfId="17" applyBorder="1" applyAlignment="1">
      <alignment horizontal="center" vertical="center"/>
    </xf>
    <xf numFmtId="0" fontId="36" fillId="0" borderId="0" xfId="17" applyFont="1" applyFill="1" applyBorder="1"/>
    <xf numFmtId="166" fontId="2" fillId="0" borderId="0" xfId="19" applyNumberFormat="1" applyBorder="1" applyAlignment="1">
      <alignment horizontal="center" vertical="center"/>
    </xf>
    <xf numFmtId="0" fontId="2" fillId="0" borderId="7" xfId="17" applyBorder="1" applyAlignment="1">
      <alignment horizontal="center" vertical="center"/>
    </xf>
    <xf numFmtId="0" fontId="36" fillId="0" borderId="0" xfId="17" applyFont="1" applyFill="1"/>
    <xf numFmtId="0" fontId="3" fillId="0" borderId="5" xfId="17" applyFont="1" applyBorder="1" applyAlignment="1">
      <alignment horizontal="center" vertical="center"/>
    </xf>
    <xf numFmtId="0" fontId="3" fillId="0" borderId="0" xfId="18" applyNumberFormat="1" applyFont="1" applyBorder="1" applyAlignment="1">
      <alignment horizontal="left" vertical="center"/>
    </xf>
    <xf numFmtId="167" fontId="38" fillId="0" borderId="0" xfId="18" applyFont="1" applyFill="1"/>
    <xf numFmtId="0" fontId="38" fillId="0" borderId="0" xfId="17" applyFont="1" applyFill="1"/>
    <xf numFmtId="0" fontId="38" fillId="4" borderId="88" xfId="17" applyFont="1" applyFill="1" applyBorder="1" applyAlignment="1">
      <alignment horizontal="center" vertical="center"/>
    </xf>
    <xf numFmtId="0" fontId="38" fillId="4" borderId="89" xfId="17" applyFont="1" applyFill="1" applyBorder="1" applyAlignment="1">
      <alignment horizontal="center" vertical="center"/>
    </xf>
    <xf numFmtId="0" fontId="38" fillId="4" borderId="91" xfId="17" applyFont="1" applyFill="1" applyBorder="1" applyAlignment="1">
      <alignment horizontal="center"/>
    </xf>
    <xf numFmtId="166" fontId="38" fillId="4" borderId="88" xfId="19" applyNumberFormat="1" applyFont="1" applyFill="1" applyBorder="1" applyAlignment="1">
      <alignment horizontal="center" vertical="center"/>
    </xf>
    <xf numFmtId="166" fontId="38" fillId="4" borderId="92" xfId="19" applyNumberFormat="1" applyFont="1" applyFill="1" applyBorder="1" applyAlignment="1">
      <alignment horizontal="center" vertical="center"/>
    </xf>
    <xf numFmtId="166" fontId="38" fillId="0" borderId="97" xfId="19" applyNumberFormat="1" applyFont="1" applyFill="1" applyBorder="1" applyAlignment="1">
      <alignment horizontal="left" vertical="center"/>
    </xf>
    <xf numFmtId="0" fontId="38" fillId="0" borderId="98" xfId="18" applyNumberFormat="1" applyFont="1" applyFill="1" applyBorder="1" applyAlignment="1">
      <alignment horizontal="center" vertical="center"/>
    </xf>
    <xf numFmtId="165" fontId="38" fillId="0" borderId="0" xfId="14" applyFont="1" applyFill="1"/>
    <xf numFmtId="166" fontId="38" fillId="0" borderId="16" xfId="19" applyNumberFormat="1" applyFont="1" applyFill="1" applyBorder="1" applyAlignment="1">
      <alignment horizontal="left" vertical="center"/>
    </xf>
    <xf numFmtId="166" fontId="38" fillId="0" borderId="12" xfId="18" applyNumberFormat="1" applyFont="1" applyFill="1" applyBorder="1" applyAlignment="1">
      <alignment horizontal="center" vertical="center"/>
    </xf>
    <xf numFmtId="0" fontId="38" fillId="0" borderId="42" xfId="18" applyNumberFormat="1" applyFont="1" applyFill="1" applyBorder="1" applyAlignment="1">
      <alignment horizontal="center" vertical="center"/>
    </xf>
    <xf numFmtId="0" fontId="38" fillId="0" borderId="5" xfId="17" applyFont="1" applyFill="1" applyBorder="1" applyAlignment="1">
      <alignment horizontal="center" vertical="center"/>
    </xf>
    <xf numFmtId="0" fontId="38" fillId="0" borderId="0" xfId="18" applyNumberFormat="1" applyFont="1" applyBorder="1" applyAlignment="1">
      <alignment horizontal="left" vertical="center"/>
    </xf>
    <xf numFmtId="0" fontId="38" fillId="0" borderId="0" xfId="17" applyFont="1" applyBorder="1" applyAlignment="1">
      <alignment horizontal="left" vertical="center"/>
    </xf>
    <xf numFmtId="0" fontId="38" fillId="0" borderId="9" xfId="17" applyFont="1" applyFill="1" applyBorder="1"/>
    <xf numFmtId="176" fontId="38" fillId="0" borderId="9" xfId="20" applyNumberFormat="1" applyFont="1" applyFill="1" applyBorder="1" applyAlignment="1">
      <alignment horizontal="center" vertical="center"/>
    </xf>
    <xf numFmtId="177" fontId="38" fillId="0" borderId="0" xfId="20" applyNumberFormat="1" applyFont="1" applyFill="1" applyBorder="1" applyAlignment="1">
      <alignment horizontal="center" vertical="center"/>
    </xf>
    <xf numFmtId="166" fontId="38" fillId="0" borderId="0" xfId="19" applyNumberFormat="1" applyFont="1" applyFill="1" applyBorder="1" applyAlignment="1">
      <alignment horizontal="left" vertical="center"/>
    </xf>
    <xf numFmtId="166" fontId="38" fillId="0" borderId="9" xfId="18" applyNumberFormat="1" applyFont="1" applyFill="1" applyBorder="1" applyAlignment="1">
      <alignment horizontal="center" vertical="center"/>
    </xf>
    <xf numFmtId="0" fontId="38" fillId="0" borderId="11" xfId="18" applyNumberFormat="1" applyFont="1" applyFill="1" applyBorder="1" applyAlignment="1">
      <alignment horizontal="center" vertical="center"/>
    </xf>
    <xf numFmtId="0" fontId="38" fillId="0" borderId="5" xfId="17" applyFont="1" applyBorder="1" applyAlignment="1">
      <alignment horizontal="center" vertical="center"/>
    </xf>
    <xf numFmtId="0" fontId="38" fillId="0" borderId="0" xfId="18" applyNumberFormat="1" applyFont="1" applyBorder="1" applyAlignment="1">
      <alignment horizontal="center" vertical="center"/>
    </xf>
    <xf numFmtId="0" fontId="38" fillId="0" borderId="0" xfId="17" applyFont="1" applyFill="1" applyBorder="1" applyAlignment="1">
      <alignment horizontal="right" vertical="center"/>
    </xf>
    <xf numFmtId="176" fontId="37" fillId="0" borderId="0" xfId="17" applyNumberFormat="1" applyFont="1" applyFill="1" applyBorder="1" applyAlignment="1">
      <alignment horizontal="center" vertical="center"/>
    </xf>
    <xf numFmtId="166" fontId="40" fillId="0" borderId="0" xfId="19" applyNumberFormat="1" applyFont="1" applyBorder="1" applyAlignment="1">
      <alignment horizontal="right" vertical="center"/>
    </xf>
    <xf numFmtId="166" fontId="37" fillId="5" borderId="16" xfId="19" applyNumberFormat="1" applyFont="1" applyFill="1" applyBorder="1" applyAlignment="1">
      <alignment horizontal="center" vertical="center"/>
    </xf>
    <xf numFmtId="0" fontId="38" fillId="5" borderId="42" xfId="17" quotePrefix="1" applyFont="1" applyFill="1" applyBorder="1" applyAlignment="1">
      <alignment horizontal="center" vertical="center"/>
    </xf>
    <xf numFmtId="166" fontId="2" fillId="0" borderId="0" xfId="19" applyNumberFormat="1" applyFill="1" applyBorder="1" applyAlignment="1">
      <alignment horizontal="center" vertical="center"/>
    </xf>
    <xf numFmtId="0" fontId="40" fillId="0" borderId="7" xfId="17" applyFont="1" applyFill="1" applyBorder="1" applyAlignment="1">
      <alignment horizontal="center" vertical="center"/>
    </xf>
    <xf numFmtId="0" fontId="38" fillId="0" borderId="94" xfId="17" applyFont="1" applyFill="1" applyBorder="1" applyAlignment="1">
      <alignment horizontal="center"/>
    </xf>
    <xf numFmtId="175" fontId="38" fillId="0" borderId="99" xfId="17" applyNumberFormat="1" applyFont="1" applyFill="1" applyBorder="1" applyAlignment="1">
      <alignment horizontal="center"/>
    </xf>
    <xf numFmtId="0" fontId="38" fillId="0" borderId="98" xfId="17" applyFont="1" applyFill="1" applyBorder="1" applyAlignment="1">
      <alignment horizontal="center"/>
    </xf>
    <xf numFmtId="0" fontId="38" fillId="0" borderId="0" xfId="17" applyFont="1" applyFill="1" applyBorder="1" applyAlignment="1">
      <alignment horizontal="center" vertical="center"/>
    </xf>
    <xf numFmtId="166" fontId="38" fillId="0" borderId="0" xfId="19" applyNumberFormat="1" applyFont="1" applyBorder="1" applyAlignment="1">
      <alignment horizontal="center" vertical="center"/>
    </xf>
    <xf numFmtId="166" fontId="42" fillId="0" borderId="0" xfId="19" applyNumberFormat="1" applyFont="1" applyBorder="1" applyAlignment="1">
      <alignment horizontal="center" vertical="center"/>
    </xf>
    <xf numFmtId="0" fontId="38" fillId="0" borderId="7" xfId="17" applyFont="1" applyBorder="1" applyAlignment="1">
      <alignment horizontal="center" vertical="center"/>
    </xf>
    <xf numFmtId="0" fontId="38" fillId="9" borderId="0" xfId="18" applyNumberFormat="1" applyFont="1" applyFill="1" applyBorder="1" applyAlignment="1">
      <alignment horizontal="center" vertical="center"/>
    </xf>
    <xf numFmtId="0" fontId="38" fillId="9" borderId="0" xfId="17" applyFont="1" applyFill="1" applyBorder="1" applyAlignment="1">
      <alignment horizontal="center" vertical="center"/>
    </xf>
    <xf numFmtId="0" fontId="38" fillId="0" borderId="0" xfId="17" applyFont="1" applyFill="1" applyBorder="1"/>
    <xf numFmtId="0" fontId="38" fillId="0" borderId="0" xfId="17" applyFont="1" applyFill="1" applyBorder="1" applyAlignment="1">
      <alignment horizontal="right"/>
    </xf>
    <xf numFmtId="179" fontId="37" fillId="0" borderId="0" xfId="17" applyNumberFormat="1" applyFont="1" applyFill="1" applyBorder="1" applyAlignment="1">
      <alignment horizontal="center" vertical="center"/>
    </xf>
    <xf numFmtId="0" fontId="38" fillId="8" borderId="16" xfId="17" applyFont="1" applyFill="1" applyBorder="1" applyAlignment="1">
      <alignment horizontal="center" vertical="center"/>
    </xf>
    <xf numFmtId="0" fontId="43" fillId="8" borderId="12" xfId="18" applyNumberFormat="1" applyFont="1" applyFill="1" applyBorder="1" applyAlignment="1">
      <alignment horizontal="left" vertical="center"/>
    </xf>
    <xf numFmtId="0" fontId="38" fillId="8" borderId="13" xfId="17" applyFont="1" applyFill="1" applyBorder="1" applyAlignment="1">
      <alignment horizontal="center" vertical="center"/>
    </xf>
    <xf numFmtId="0" fontId="38" fillId="8" borderId="13" xfId="17" applyFont="1" applyFill="1" applyBorder="1"/>
    <xf numFmtId="0" fontId="38" fillId="8" borderId="13" xfId="17" applyFont="1" applyFill="1" applyBorder="1" applyAlignment="1">
      <alignment horizontal="right"/>
    </xf>
    <xf numFmtId="179" fontId="37" fillId="8" borderId="13" xfId="17" applyNumberFormat="1" applyFont="1" applyFill="1" applyBorder="1" applyAlignment="1">
      <alignment horizontal="center" vertical="center"/>
    </xf>
    <xf numFmtId="166" fontId="40" fillId="8" borderId="14" xfId="19" applyNumberFormat="1" applyFont="1" applyFill="1" applyBorder="1" applyAlignment="1">
      <alignment horizontal="right" vertical="center"/>
    </xf>
    <xf numFmtId="166" fontId="37" fillId="8" borderId="16" xfId="19" applyNumberFormat="1" applyFont="1" applyFill="1" applyBorder="1" applyAlignment="1">
      <alignment horizontal="center" vertical="center"/>
    </xf>
    <xf numFmtId="0" fontId="37" fillId="8" borderId="16" xfId="17" quotePrefix="1" applyFont="1" applyFill="1" applyBorder="1" applyAlignment="1">
      <alignment horizontal="center" vertical="center"/>
    </xf>
    <xf numFmtId="0" fontId="44" fillId="0" borderId="5" xfId="17" applyFont="1" applyFill="1" applyBorder="1" applyAlignment="1">
      <alignment horizontal="left" vertical="center" indent="1"/>
    </xf>
    <xf numFmtId="0" fontId="38" fillId="0" borderId="0" xfId="18" applyNumberFormat="1" applyFont="1" applyFill="1" applyBorder="1" applyAlignment="1">
      <alignment horizontal="left" vertical="center"/>
    </xf>
    <xf numFmtId="0" fontId="44" fillId="0" borderId="0" xfId="17" applyFont="1" applyFill="1" applyBorder="1" applyAlignment="1">
      <alignment horizontal="center" vertical="center"/>
    </xf>
    <xf numFmtId="0" fontId="40" fillId="0" borderId="0" xfId="17" applyFont="1" applyFill="1" applyBorder="1" applyAlignment="1">
      <alignment horizontal="right" vertical="center"/>
    </xf>
    <xf numFmtId="0" fontId="40" fillId="0" borderId="0" xfId="17" applyFont="1" applyFill="1" applyBorder="1" applyAlignment="1">
      <alignment horizontal="right"/>
    </xf>
    <xf numFmtId="166" fontId="44" fillId="0" borderId="18" xfId="19" applyNumberFormat="1" applyFont="1" applyFill="1" applyBorder="1" applyAlignment="1">
      <alignment horizontal="center" vertical="center"/>
    </xf>
    <xf numFmtId="0" fontId="38" fillId="0" borderId="19" xfId="17" applyFont="1" applyFill="1" applyBorder="1" applyAlignment="1">
      <alignment horizontal="center" vertical="center"/>
    </xf>
    <xf numFmtId="180" fontId="12" fillId="0" borderId="32" xfId="14" applyNumberFormat="1" applyFont="1" applyBorder="1" applyAlignment="1">
      <alignment vertical="center"/>
    </xf>
    <xf numFmtId="180" fontId="15" fillId="2" borderId="36" xfId="14" applyNumberFormat="1" applyFont="1" applyFill="1" applyBorder="1" applyAlignment="1">
      <alignment horizontal="center" vertical="center" wrapText="1"/>
    </xf>
    <xf numFmtId="180" fontId="15" fillId="6" borderId="39" xfId="14" applyNumberFormat="1" applyFont="1" applyFill="1" applyBorder="1" applyAlignment="1">
      <alignment horizontal="center" vertical="center" wrapText="1"/>
    </xf>
    <xf numFmtId="180" fontId="14" fillId="0" borderId="16" xfId="14" applyNumberFormat="1" applyFont="1" applyBorder="1" applyAlignment="1">
      <alignment horizontal="center" vertical="center"/>
    </xf>
    <xf numFmtId="180" fontId="15" fillId="6" borderId="16" xfId="14" applyNumberFormat="1" applyFont="1" applyFill="1" applyBorder="1" applyAlignment="1">
      <alignment horizontal="center" vertical="center"/>
    </xf>
    <xf numFmtId="180" fontId="20" fillId="7" borderId="46" xfId="14" applyNumberFormat="1" applyFont="1" applyFill="1" applyBorder="1" applyAlignment="1">
      <alignment horizontal="center" vertical="center"/>
    </xf>
    <xf numFmtId="180" fontId="12" fillId="0" borderId="0" xfId="14" applyNumberFormat="1" applyFont="1" applyAlignment="1">
      <alignment vertical="center"/>
    </xf>
    <xf numFmtId="180" fontId="14" fillId="6" borderId="16" xfId="14" applyNumberFormat="1" applyFont="1" applyFill="1" applyBorder="1" applyAlignment="1">
      <alignment horizontal="center" vertical="center"/>
    </xf>
    <xf numFmtId="9" fontId="22" fillId="0" borderId="0" xfId="25" applyFont="1" applyAlignment="1">
      <alignment vertical="center"/>
    </xf>
    <xf numFmtId="9" fontId="19" fillId="0" borderId="0" xfId="25" applyFont="1" applyAlignment="1">
      <alignment vertical="center"/>
    </xf>
    <xf numFmtId="0" fontId="38" fillId="4" borderId="88" xfId="17" applyFont="1" applyFill="1" applyBorder="1" applyAlignment="1">
      <alignment horizontal="center" vertical="center"/>
    </xf>
    <xf numFmtId="165" fontId="38" fillId="0" borderId="0" xfId="17" applyNumberFormat="1" applyFont="1" applyFill="1"/>
    <xf numFmtId="0" fontId="3" fillId="0" borderId="0" xfId="9" applyNumberFormat="1" applyFont="1" applyBorder="1" applyAlignment="1">
      <alignment horizontal="left" vertical="center"/>
    </xf>
    <xf numFmtId="0" fontId="38" fillId="0" borderId="105" xfId="17" applyFont="1" applyFill="1" applyBorder="1" applyAlignment="1">
      <alignment horizontal="center"/>
    </xf>
    <xf numFmtId="0" fontId="38" fillId="0" borderId="60" xfId="17" applyFont="1" applyFill="1" applyBorder="1" applyAlignment="1">
      <alignment horizontal="center"/>
    </xf>
    <xf numFmtId="175" fontId="45" fillId="0" borderId="9" xfId="17" applyNumberFormat="1" applyFont="1" applyFill="1" applyBorder="1" applyAlignment="1">
      <alignment horizontal="center"/>
    </xf>
    <xf numFmtId="166" fontId="38" fillId="0" borderId="61" xfId="19" applyNumberFormat="1" applyFont="1" applyFill="1" applyBorder="1" applyAlignment="1">
      <alignment horizontal="left" vertical="center"/>
    </xf>
    <xf numFmtId="166" fontId="38" fillId="0" borderId="10" xfId="18" applyNumberFormat="1" applyFont="1" applyFill="1" applyBorder="1" applyAlignment="1">
      <alignment horizontal="center" vertical="center"/>
    </xf>
    <xf numFmtId="0" fontId="38" fillId="0" borderId="62" xfId="17" applyFont="1" applyFill="1" applyBorder="1" applyAlignment="1">
      <alignment horizontal="center"/>
    </xf>
    <xf numFmtId="0" fontId="38" fillId="0" borderId="41" xfId="17" applyFont="1" applyFill="1" applyBorder="1" applyAlignment="1">
      <alignment horizontal="center"/>
    </xf>
    <xf numFmtId="175" fontId="45" fillId="0" borderId="13" xfId="17" applyNumberFormat="1" applyFont="1" applyFill="1" applyBorder="1" applyAlignment="1">
      <alignment horizontal="center"/>
    </xf>
    <xf numFmtId="0" fontId="38" fillId="0" borderId="42" xfId="17" applyFont="1" applyFill="1" applyBorder="1" applyAlignment="1">
      <alignment horizontal="center"/>
    </xf>
    <xf numFmtId="0" fontId="38" fillId="8" borderId="67" xfId="0" applyFont="1" applyFill="1" applyBorder="1" applyAlignment="1">
      <alignment horizontal="center"/>
    </xf>
    <xf numFmtId="0" fontId="2" fillId="8" borderId="50" xfId="0" applyFont="1" applyFill="1" applyBorder="1" applyAlignment="1">
      <alignment horizontal="left" vertical="center"/>
    </xf>
    <xf numFmtId="0" fontId="38" fillId="8" borderId="64" xfId="0" applyFont="1" applyFill="1" applyBorder="1"/>
    <xf numFmtId="175" fontId="38" fillId="8" borderId="48" xfId="0" applyNumberFormat="1" applyFont="1" applyFill="1" applyBorder="1" applyAlignment="1">
      <alignment horizontal="center"/>
    </xf>
    <xf numFmtId="166" fontId="38" fillId="8" borderId="48" xfId="16" applyNumberFormat="1" applyFont="1" applyFill="1" applyBorder="1" applyAlignment="1">
      <alignment horizontal="left" vertical="center"/>
    </xf>
    <xf numFmtId="166" fontId="38" fillId="8" borderId="48" xfId="18" applyNumberFormat="1" applyFont="1" applyFill="1" applyBorder="1" applyAlignment="1">
      <alignment horizontal="center" vertical="center"/>
    </xf>
    <xf numFmtId="0" fontId="38" fillId="0" borderId="66" xfId="0" applyFont="1" applyFill="1" applyBorder="1" applyAlignment="1">
      <alignment horizontal="center"/>
    </xf>
    <xf numFmtId="0" fontId="38" fillId="0" borderId="0" xfId="0" applyFont="1" applyFill="1"/>
    <xf numFmtId="175" fontId="38" fillId="8" borderId="64" xfId="0" applyNumberFormat="1" applyFont="1" applyFill="1" applyBorder="1" applyAlignment="1">
      <alignment horizontal="center"/>
    </xf>
    <xf numFmtId="0" fontId="38" fillId="8" borderId="64" xfId="18" applyNumberFormat="1" applyFont="1" applyFill="1" applyBorder="1" applyAlignment="1">
      <alignment horizontal="left" vertical="center"/>
    </xf>
    <xf numFmtId="184" fontId="38" fillId="8" borderId="64" xfId="0" applyNumberFormat="1" applyFont="1" applyFill="1" applyBorder="1" applyAlignment="1">
      <alignment horizontal="center"/>
    </xf>
    <xf numFmtId="0" fontId="38" fillId="8" borderId="100" xfId="17" applyFont="1" applyFill="1" applyBorder="1" applyAlignment="1">
      <alignment horizontal="center"/>
    </xf>
    <xf numFmtId="175" fontId="45" fillId="8" borderId="103" xfId="17" applyNumberFormat="1" applyFont="1" applyFill="1" applyBorder="1" applyAlignment="1">
      <alignment horizontal="center"/>
    </xf>
    <xf numFmtId="166" fontId="38" fillId="8" borderId="104" xfId="19" applyNumberFormat="1" applyFont="1" applyFill="1" applyBorder="1" applyAlignment="1">
      <alignment horizontal="left" vertical="center"/>
    </xf>
    <xf numFmtId="166" fontId="38" fillId="8" borderId="20" xfId="18" applyNumberFormat="1" applyFont="1" applyFill="1" applyBorder="1" applyAlignment="1">
      <alignment horizontal="center" vertical="center"/>
    </xf>
    <xf numFmtId="0" fontId="38" fillId="8" borderId="41" xfId="17" applyFont="1" applyFill="1" applyBorder="1" applyAlignment="1">
      <alignment horizontal="center"/>
    </xf>
    <xf numFmtId="175" fontId="45" fillId="8" borderId="13" xfId="17" applyNumberFormat="1" applyFont="1" applyFill="1" applyBorder="1" applyAlignment="1">
      <alignment horizontal="center"/>
    </xf>
    <xf numFmtId="166" fontId="38" fillId="8" borderId="16" xfId="19" applyNumberFormat="1" applyFont="1" applyFill="1" applyBorder="1" applyAlignment="1">
      <alignment horizontal="left" vertical="center"/>
    </xf>
    <xf numFmtId="166" fontId="38" fillId="8" borderId="12" xfId="18" applyNumberFormat="1" applyFont="1" applyFill="1" applyBorder="1" applyAlignment="1">
      <alignment horizontal="center" vertical="center"/>
    </xf>
    <xf numFmtId="175" fontId="45" fillId="8" borderId="9" xfId="17" applyNumberFormat="1" applyFont="1" applyFill="1" applyBorder="1" applyAlignment="1">
      <alignment horizontal="center"/>
    </xf>
    <xf numFmtId="166" fontId="38" fillId="8" borderId="61" xfId="19" applyNumberFormat="1" applyFont="1" applyFill="1" applyBorder="1" applyAlignment="1">
      <alignment horizontal="left" vertical="center"/>
    </xf>
    <xf numFmtId="0" fontId="0" fillId="0" borderId="24" xfId="0" applyBorder="1" applyAlignment="1">
      <alignment vertical="center"/>
    </xf>
    <xf numFmtId="0" fontId="7" fillId="0" borderId="18" xfId="0" applyFont="1"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3" fillId="0" borderId="5" xfId="0" applyFont="1" applyBorder="1" applyAlignment="1">
      <alignment horizontal="center" vertical="top"/>
    </xf>
    <xf numFmtId="0" fontId="3" fillId="0" borderId="5" xfId="0" applyFont="1" applyBorder="1" applyAlignment="1">
      <alignment horizontal="center" vertical="center"/>
    </xf>
    <xf numFmtId="0" fontId="3" fillId="0" borderId="25" xfId="0" applyFont="1" applyBorder="1" applyAlignment="1">
      <alignment horizontal="center" vertical="center"/>
    </xf>
    <xf numFmtId="166" fontId="38" fillId="8" borderId="16" xfId="17" applyNumberFormat="1" applyFont="1" applyFill="1" applyBorder="1"/>
    <xf numFmtId="0" fontId="38" fillId="8" borderId="16" xfId="17" applyFont="1" applyFill="1" applyBorder="1"/>
    <xf numFmtId="166" fontId="38" fillId="8" borderId="16" xfId="17" applyNumberFormat="1" applyFont="1" applyFill="1" applyBorder="1"/>
    <xf numFmtId="0" fontId="38" fillId="0" borderId="16" xfId="17" applyFont="1" applyFill="1" applyBorder="1"/>
    <xf numFmtId="0" fontId="36" fillId="0" borderId="16" xfId="17" applyFont="1" applyFill="1" applyBorder="1"/>
    <xf numFmtId="171" fontId="12" fillId="0" borderId="16" xfId="0" applyNumberFormat="1" applyFont="1" applyBorder="1" applyAlignment="1">
      <alignment vertical="center"/>
    </xf>
    <xf numFmtId="0" fontId="12" fillId="0" borderId="16" xfId="0" applyFont="1" applyBorder="1" applyAlignment="1">
      <alignment vertical="center"/>
    </xf>
    <xf numFmtId="166" fontId="38" fillId="6" borderId="16" xfId="17" applyNumberFormat="1" applyFont="1" applyFill="1" applyBorder="1"/>
    <xf numFmtId="167" fontId="27" fillId="0" borderId="0" xfId="0" applyNumberFormat="1" applyFont="1" applyAlignment="1">
      <alignment horizontal="center" vertical="center"/>
    </xf>
    <xf numFmtId="0" fontId="47" fillId="0" borderId="16" xfId="26" applyFont="1" applyBorder="1" applyAlignment="1">
      <alignment vertical="center"/>
    </xf>
    <xf numFmtId="10" fontId="47" fillId="3" borderId="16" xfId="26" applyNumberFormat="1" applyFont="1" applyFill="1" applyBorder="1" applyAlignment="1">
      <alignment horizontal="center" vertical="center"/>
    </xf>
    <xf numFmtId="10" fontId="47" fillId="3" borderId="16" xfId="26" applyNumberFormat="1" applyFont="1" applyFill="1" applyBorder="1" applyAlignment="1">
      <alignment horizontal="left" vertical="center"/>
    </xf>
    <xf numFmtId="0" fontId="47" fillId="6" borderId="16" xfId="26" applyFont="1" applyFill="1" applyBorder="1" applyAlignment="1">
      <alignment vertical="center"/>
    </xf>
    <xf numFmtId="10" fontId="47" fillId="6" borderId="16" xfId="27" applyNumberFormat="1" applyFont="1" applyFill="1" applyBorder="1" applyAlignment="1">
      <alignment horizontal="center" vertical="center"/>
    </xf>
    <xf numFmtId="10" fontId="47" fillId="8" borderId="16" xfId="27" applyNumberFormat="1" applyFont="1" applyFill="1" applyBorder="1" applyAlignment="1">
      <alignment horizontal="center" vertical="center"/>
    </xf>
    <xf numFmtId="171" fontId="12" fillId="8" borderId="16" xfId="0" applyNumberFormat="1" applyFont="1" applyFill="1" applyBorder="1" applyAlignment="1">
      <alignment vertical="center"/>
    </xf>
    <xf numFmtId="0" fontId="12" fillId="8" borderId="16" xfId="0" applyFont="1" applyFill="1" applyBorder="1" applyAlignment="1">
      <alignment vertical="center"/>
    </xf>
    <xf numFmtId="0" fontId="22" fillId="6" borderId="16" xfId="0" applyFont="1" applyFill="1" applyBorder="1" applyAlignment="1">
      <alignment vertical="center"/>
    </xf>
    <xf numFmtId="1" fontId="11" fillId="0" borderId="0" xfId="0" applyNumberFormat="1" applyFont="1" applyAlignment="1">
      <alignment vertical="center"/>
    </xf>
    <xf numFmtId="180" fontId="11" fillId="6" borderId="16" xfId="14" applyNumberFormat="1" applyFont="1" applyFill="1" applyBorder="1" applyAlignment="1">
      <alignment vertical="center"/>
    </xf>
    <xf numFmtId="180" fontId="22" fillId="6" borderId="16" xfId="14" applyNumberFormat="1" applyFont="1" applyFill="1" applyBorder="1" applyAlignment="1">
      <alignment vertical="center"/>
    </xf>
    <xf numFmtId="10" fontId="19" fillId="8" borderId="16" xfId="25" applyNumberFormat="1" applyFont="1" applyFill="1" applyBorder="1" applyAlignment="1">
      <alignment vertical="center"/>
    </xf>
    <xf numFmtId="180" fontId="19" fillId="6" borderId="16" xfId="14" applyNumberFormat="1" applyFont="1" applyFill="1" applyBorder="1" applyAlignment="1">
      <alignment vertical="center"/>
    </xf>
    <xf numFmtId="0" fontId="11" fillId="0" borderId="16" xfId="0" applyFont="1" applyBorder="1" applyAlignment="1">
      <alignment vertical="center"/>
    </xf>
    <xf numFmtId="0" fontId="11" fillId="0" borderId="0" xfId="0" applyFont="1" applyBorder="1" applyAlignment="1">
      <alignment vertical="center"/>
    </xf>
    <xf numFmtId="9" fontId="11" fillId="6" borderId="0" xfId="25" applyFont="1" applyFill="1" applyBorder="1" applyAlignment="1">
      <alignment vertical="center"/>
    </xf>
    <xf numFmtId="0" fontId="38" fillId="8" borderId="94" xfId="17" applyFont="1" applyFill="1" applyBorder="1" applyAlignment="1">
      <alignment horizontal="center" vertical="center"/>
    </xf>
    <xf numFmtId="181" fontId="38" fillId="8" borderId="97" xfId="20" applyNumberFormat="1" applyFont="1" applyFill="1" applyBorder="1" applyAlignment="1">
      <alignment horizontal="center" vertical="center"/>
    </xf>
    <xf numFmtId="166" fontId="38" fillId="8" borderId="95" xfId="18" applyNumberFormat="1" applyFont="1" applyFill="1" applyBorder="1" applyAlignment="1">
      <alignment horizontal="center" vertical="center"/>
    </xf>
    <xf numFmtId="0" fontId="38" fillId="8" borderId="41" xfId="17" applyFont="1" applyFill="1" applyBorder="1" applyAlignment="1">
      <alignment horizontal="center" vertical="center"/>
    </xf>
    <xf numFmtId="181" fontId="38" fillId="8" borderId="16" xfId="20" applyNumberFormat="1" applyFont="1" applyFill="1" applyBorder="1" applyAlignment="1">
      <alignment horizontal="center" vertical="center"/>
    </xf>
    <xf numFmtId="10" fontId="11" fillId="6" borderId="16" xfId="25" applyNumberFormat="1" applyFont="1" applyFill="1" applyBorder="1" applyAlignment="1">
      <alignment vertical="center"/>
    </xf>
    <xf numFmtId="180" fontId="11" fillId="10" borderId="16" xfId="14" applyNumberFormat="1" applyFont="1" applyFill="1" applyBorder="1" applyAlignment="1">
      <alignment vertical="center"/>
    </xf>
    <xf numFmtId="10" fontId="11" fillId="10" borderId="16" xfId="25" applyNumberFormat="1" applyFont="1" applyFill="1" applyBorder="1" applyAlignment="1">
      <alignment vertical="center"/>
    </xf>
    <xf numFmtId="180" fontId="25" fillId="10" borderId="16" xfId="14" applyNumberFormat="1" applyFont="1" applyFill="1" applyBorder="1" applyAlignment="1">
      <alignment vertical="center"/>
    </xf>
    <xf numFmtId="166" fontId="38" fillId="8" borderId="16" xfId="17" applyNumberFormat="1" applyFont="1" applyFill="1" applyBorder="1" applyAlignment="1">
      <alignment wrapText="1"/>
    </xf>
    <xf numFmtId="180" fontId="25" fillId="0" borderId="16" xfId="0" applyNumberFormat="1" applyFont="1" applyBorder="1" applyAlignment="1">
      <alignment vertical="center"/>
    </xf>
    <xf numFmtId="165" fontId="24" fillId="0" borderId="0" xfId="14" applyFont="1" applyFill="1" applyBorder="1" applyAlignment="1">
      <alignment vertical="center"/>
    </xf>
    <xf numFmtId="165" fontId="35" fillId="0" borderId="0" xfId="14" applyFont="1" applyAlignment="1">
      <alignment vertical="center"/>
    </xf>
    <xf numFmtId="165" fontId="36" fillId="0" borderId="0" xfId="14" applyFont="1" applyFill="1"/>
    <xf numFmtId="165" fontId="12" fillId="0" borderId="0" xfId="14" applyFont="1" applyBorder="1" applyAlignment="1">
      <alignment vertical="center"/>
    </xf>
    <xf numFmtId="177" fontId="38" fillId="8" borderId="48" xfId="0" applyNumberFormat="1" applyFont="1" applyFill="1" applyBorder="1" applyAlignment="1">
      <alignment horizontal="center"/>
    </xf>
    <xf numFmtId="175" fontId="38" fillId="8" borderId="48" xfId="0" applyNumberFormat="1" applyFont="1" applyFill="1" applyBorder="1" applyAlignment="1">
      <alignment horizontal="center" vertical="center"/>
    </xf>
    <xf numFmtId="185" fontId="15" fillId="6" borderId="16" xfId="14" applyNumberFormat="1" applyFont="1" applyFill="1" applyBorder="1" applyAlignment="1">
      <alignment horizontal="right" vertical="center"/>
    </xf>
    <xf numFmtId="10" fontId="27" fillId="0" borderId="0" xfId="25" applyNumberFormat="1" applyFont="1" applyAlignment="1">
      <alignment horizontal="center" vertical="center"/>
    </xf>
    <xf numFmtId="0" fontId="38" fillId="6" borderId="12" xfId="17" applyFont="1" applyFill="1" applyBorder="1" applyAlignment="1">
      <alignment horizontal="left" vertical="center"/>
    </xf>
    <xf numFmtId="0" fontId="38" fillId="6" borderId="14" xfId="17" applyFont="1" applyFill="1" applyBorder="1" applyAlignment="1">
      <alignment horizontal="left" vertical="center"/>
    </xf>
    <xf numFmtId="0" fontId="11" fillId="8" borderId="72" xfId="0" applyFont="1" applyFill="1" applyBorder="1" applyAlignment="1">
      <alignment vertical="center"/>
    </xf>
    <xf numFmtId="0" fontId="11" fillId="8" borderId="73" xfId="0" applyFont="1" applyFill="1" applyBorder="1" applyAlignment="1">
      <alignment vertical="center"/>
    </xf>
    <xf numFmtId="0" fontId="11" fillId="8" borderId="74" xfId="0" applyFont="1" applyFill="1" applyBorder="1" applyAlignment="1">
      <alignment vertical="center"/>
    </xf>
    <xf numFmtId="10" fontId="11" fillId="8" borderId="52" xfId="13" applyFont="1" applyFill="1" applyBorder="1" applyAlignment="1">
      <alignment vertical="center"/>
    </xf>
    <xf numFmtId="0" fontId="11" fillId="8" borderId="52" xfId="0" applyFont="1" applyFill="1" applyBorder="1" applyAlignment="1">
      <alignment horizontal="center" vertical="center"/>
    </xf>
    <xf numFmtId="167" fontId="11" fillId="8" borderId="52" xfId="9" applyFont="1" applyFill="1" applyBorder="1" applyAlignment="1">
      <alignment horizontal="center" vertical="center"/>
    </xf>
    <xf numFmtId="167" fontId="11" fillId="8" borderId="76" xfId="9" applyFont="1" applyFill="1" applyBorder="1" applyAlignment="1">
      <alignment horizontal="center" vertical="center"/>
    </xf>
    <xf numFmtId="0" fontId="11" fillId="8" borderId="66" xfId="0" quotePrefix="1" applyFont="1" applyFill="1" applyBorder="1" applyAlignment="1">
      <alignment horizontal="center" vertical="center"/>
    </xf>
    <xf numFmtId="0" fontId="11" fillId="8" borderId="50" xfId="0" applyFont="1" applyFill="1" applyBorder="1" applyAlignment="1">
      <alignment vertical="center"/>
    </xf>
    <xf numFmtId="0" fontId="11" fillId="8" borderId="64" xfId="0" applyFont="1" applyFill="1" applyBorder="1" applyAlignment="1">
      <alignment vertical="center"/>
    </xf>
    <xf numFmtId="0" fontId="11" fillId="8" borderId="51" xfId="0" applyFont="1" applyFill="1" applyBorder="1" applyAlignment="1">
      <alignment vertical="center"/>
    </xf>
    <xf numFmtId="9" fontId="11" fillId="8" borderId="48" xfId="0" applyNumberFormat="1" applyFont="1" applyFill="1" applyBorder="1" applyAlignment="1">
      <alignment horizontal="center" vertical="center"/>
    </xf>
    <xf numFmtId="0" fontId="11" fillId="8" borderId="48" xfId="0" applyFont="1" applyFill="1" applyBorder="1" applyAlignment="1">
      <alignment horizontal="center" vertical="center"/>
    </xf>
    <xf numFmtId="180" fontId="14" fillId="8" borderId="16" xfId="14" applyNumberFormat="1" applyFont="1" applyFill="1" applyBorder="1" applyAlignment="1">
      <alignment horizontal="center" vertical="center"/>
    </xf>
    <xf numFmtId="0" fontId="38" fillId="8" borderId="12" xfId="18" applyNumberFormat="1" applyFont="1" applyFill="1" applyBorder="1" applyAlignment="1">
      <alignment horizontal="left" vertical="center"/>
    </xf>
    <xf numFmtId="0" fontId="38" fillId="8" borderId="14" xfId="18" applyNumberFormat="1" applyFont="1" applyFill="1" applyBorder="1" applyAlignment="1">
      <alignment horizontal="left"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28" xfId="0" applyFont="1" applyBorder="1" applyAlignment="1">
      <alignment horizontal="center" vertical="center"/>
    </xf>
    <xf numFmtId="0" fontId="10" fillId="5" borderId="3"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4" xfId="0" applyFont="1" applyFill="1" applyBorder="1" applyAlignment="1">
      <alignment horizontal="center" vertical="center"/>
    </xf>
    <xf numFmtId="0" fontId="12" fillId="0" borderId="5" xfId="0" applyFont="1" applyBorder="1" applyAlignment="1">
      <alignment horizontal="center" vertical="center"/>
    </xf>
    <xf numFmtId="0" fontId="12" fillId="0" borderId="0" xfId="0" applyFont="1" applyBorder="1" applyAlignment="1">
      <alignment horizontal="center" vertical="center"/>
    </xf>
    <xf numFmtId="0" fontId="12" fillId="0" borderId="22" xfId="0" applyFont="1" applyBorder="1" applyAlignment="1">
      <alignment horizontal="center" vertical="center"/>
    </xf>
    <xf numFmtId="0" fontId="9" fillId="5" borderId="10"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1" xfId="0" applyFont="1" applyFill="1" applyBorder="1" applyAlignment="1">
      <alignment horizontal="center" vertical="center"/>
    </xf>
    <xf numFmtId="0" fontId="13" fillId="0" borderId="5" xfId="0" applyFont="1" applyBorder="1" applyAlignment="1">
      <alignment horizontal="center" vertical="center"/>
    </xf>
    <xf numFmtId="0" fontId="13" fillId="0" borderId="0" xfId="0" applyFont="1" applyBorder="1" applyAlignment="1">
      <alignment horizontal="center" vertical="center"/>
    </xf>
    <xf numFmtId="0" fontId="13" fillId="0" borderId="22" xfId="0" applyFont="1" applyBorder="1" applyAlignment="1">
      <alignment horizontal="center" vertical="center"/>
    </xf>
    <xf numFmtId="0" fontId="15" fillId="0" borderId="0" xfId="0" applyFont="1" applyBorder="1" applyAlignment="1">
      <alignment vertical="center" wrapText="1"/>
    </xf>
    <xf numFmtId="0" fontId="15" fillId="0" borderId="7" xfId="0" applyFont="1" applyBorder="1" applyAlignment="1">
      <alignment vertical="center" wrapText="1"/>
    </xf>
    <xf numFmtId="0" fontId="15" fillId="2" borderId="32" xfId="0" applyFont="1" applyFill="1" applyBorder="1" applyAlignment="1">
      <alignment horizontal="center" vertical="center"/>
    </xf>
    <xf numFmtId="0" fontId="15" fillId="2" borderId="35" xfId="0" applyFont="1" applyFill="1" applyBorder="1" applyAlignment="1">
      <alignment horizontal="center" vertical="center"/>
    </xf>
    <xf numFmtId="0" fontId="14" fillId="0" borderId="16" xfId="0" applyFont="1" applyBorder="1" applyAlignment="1">
      <alignment horizontal="left" vertical="center"/>
    </xf>
    <xf numFmtId="0" fontId="15" fillId="6" borderId="16" xfId="0" applyFont="1" applyFill="1" applyBorder="1" applyAlignment="1">
      <alignment horizontal="left" vertical="center"/>
    </xf>
    <xf numFmtId="0" fontId="15" fillId="6" borderId="46" xfId="0" applyFont="1" applyFill="1" applyBorder="1" applyAlignment="1">
      <alignment horizontal="left" vertical="center"/>
    </xf>
    <xf numFmtId="0" fontId="15" fillId="6" borderId="44" xfId="0" applyFont="1" applyFill="1" applyBorder="1" applyAlignment="1">
      <alignment horizontal="left" vertical="center"/>
    </xf>
    <xf numFmtId="0" fontId="15" fillId="6" borderId="45" xfId="0" applyFont="1" applyFill="1" applyBorder="1" applyAlignment="1">
      <alignment horizontal="left" vertical="center"/>
    </xf>
    <xf numFmtId="0" fontId="16" fillId="0" borderId="5" xfId="0" applyFont="1" applyBorder="1" applyAlignment="1">
      <alignment horizontal="center" vertical="center"/>
    </xf>
    <xf numFmtId="0" fontId="16" fillId="0" borderId="0" xfId="0" applyFont="1" applyBorder="1" applyAlignment="1">
      <alignment horizontal="center" vertical="center"/>
    </xf>
    <xf numFmtId="0" fontId="16" fillId="0" borderId="22" xfId="0" applyFont="1" applyBorder="1" applyAlignment="1">
      <alignment horizontal="center" vertical="center"/>
    </xf>
    <xf numFmtId="0" fontId="15" fillId="0" borderId="0" xfId="0" applyFont="1" applyBorder="1" applyAlignment="1">
      <alignment vertical="center"/>
    </xf>
    <xf numFmtId="0" fontId="15" fillId="0" borderId="7" xfId="0" applyFont="1" applyBorder="1" applyAlignment="1">
      <alignment vertical="center"/>
    </xf>
    <xf numFmtId="0" fontId="17" fillId="0" borderId="5" xfId="0" applyFont="1" applyBorder="1" applyAlignment="1">
      <alignment horizontal="center" vertical="center"/>
    </xf>
    <xf numFmtId="0" fontId="17" fillId="0" borderId="0" xfId="0" applyFont="1" applyBorder="1" applyAlignment="1">
      <alignment horizontal="center" vertical="center"/>
    </xf>
    <xf numFmtId="0" fontId="17" fillId="0" borderId="22" xfId="0" applyFont="1" applyBorder="1" applyAlignment="1">
      <alignment horizontal="center"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9" fillId="0" borderId="29" xfId="0" applyFont="1" applyBorder="1" applyAlignment="1">
      <alignment horizontal="center" vertical="center"/>
    </xf>
    <xf numFmtId="168" fontId="15" fillId="0" borderId="26" xfId="0" applyNumberFormat="1" applyFont="1" applyBorder="1" applyAlignment="1">
      <alignment horizontal="left" vertical="center"/>
    </xf>
    <xf numFmtId="168" fontId="15" fillId="0" borderId="27" xfId="0" applyNumberFormat="1" applyFont="1" applyBorder="1" applyAlignment="1">
      <alignment horizontal="left" vertical="center"/>
    </xf>
    <xf numFmtId="0" fontId="0" fillId="0" borderId="26" xfId="0" applyBorder="1" applyAlignment="1">
      <alignment horizontal="justify" vertical="top" wrapText="1"/>
    </xf>
    <xf numFmtId="0" fontId="0" fillId="0" borderId="27" xfId="0" applyBorder="1" applyAlignment="1">
      <alignment horizontal="justify" vertical="top" wrapText="1"/>
    </xf>
    <xf numFmtId="0" fontId="0" fillId="0" borderId="0" xfId="0" applyBorder="1" applyAlignment="1">
      <alignment horizontal="justify" vertical="top" wrapText="1"/>
    </xf>
    <xf numFmtId="0" fontId="0" fillId="0" borderId="7" xfId="0" applyBorder="1" applyAlignment="1">
      <alignment horizontal="justify" vertical="top" wrapText="1"/>
    </xf>
    <xf numFmtId="0" fontId="12" fillId="0" borderId="0" xfId="0" applyFont="1" applyBorder="1" applyAlignment="1">
      <alignment vertical="center" wrapText="1"/>
    </xf>
    <xf numFmtId="0" fontId="12" fillId="0" borderId="0" xfId="0" applyFont="1" applyAlignment="1">
      <alignment vertical="center"/>
    </xf>
    <xf numFmtId="180" fontId="11" fillId="6" borderId="16" xfId="14" applyNumberFormat="1" applyFont="1" applyFill="1" applyBorder="1" applyAlignment="1">
      <alignment horizontal="center" vertical="center"/>
    </xf>
    <xf numFmtId="0" fontId="4" fillId="0" borderId="0" xfId="0" applyFont="1" applyBorder="1" applyAlignment="1">
      <alignment horizontal="justify" vertical="top" wrapText="1"/>
    </xf>
    <xf numFmtId="0" fontId="4" fillId="0" borderId="7" xfId="0" applyFont="1" applyBorder="1" applyAlignment="1">
      <alignment horizontal="justify" vertical="top" wrapText="1"/>
    </xf>
    <xf numFmtId="0" fontId="11" fillId="0" borderId="12" xfId="0" applyFont="1" applyBorder="1" applyAlignment="1">
      <alignment horizontal="center" vertical="center"/>
    </xf>
    <xf numFmtId="0" fontId="11" fillId="0" borderId="14" xfId="0" applyFont="1" applyBorder="1" applyAlignment="1">
      <alignment horizontal="center" vertical="center"/>
    </xf>
    <xf numFmtId="0" fontId="2" fillId="8" borderId="101" xfId="17" applyFont="1" applyFill="1" applyBorder="1" applyAlignment="1">
      <alignment horizontal="left" vertical="center"/>
    </xf>
    <xf numFmtId="0" fontId="2" fillId="8" borderId="102" xfId="17" applyFont="1" applyFill="1" applyBorder="1" applyAlignment="1">
      <alignment horizontal="left" vertical="center"/>
    </xf>
    <xf numFmtId="178" fontId="41" fillId="8" borderId="101" xfId="21" applyNumberFormat="1" applyFont="1" applyFill="1" applyBorder="1" applyAlignment="1">
      <alignment horizontal="center" vertical="center"/>
    </xf>
    <xf numFmtId="178" fontId="41" fillId="8" borderId="102" xfId="21" applyNumberFormat="1" applyFont="1" applyFill="1" applyBorder="1" applyAlignment="1">
      <alignment horizontal="center" vertical="center"/>
    </xf>
    <xf numFmtId="0" fontId="38" fillId="8" borderId="16" xfId="17" applyFont="1" applyFill="1" applyBorder="1" applyAlignment="1">
      <alignment horizontal="left" vertical="center"/>
    </xf>
    <xf numFmtId="178" fontId="41" fillId="8" borderId="10" xfId="21" applyNumberFormat="1" applyFont="1" applyFill="1" applyBorder="1" applyAlignment="1">
      <alignment horizontal="center" vertical="center"/>
    </xf>
    <xf numFmtId="178" fontId="41" fillId="8" borderId="23" xfId="21" applyNumberFormat="1" applyFont="1" applyFill="1" applyBorder="1" applyAlignment="1">
      <alignment horizontal="center" vertical="center"/>
    </xf>
    <xf numFmtId="0" fontId="37" fillId="4" borderId="20" xfId="17" applyFont="1" applyFill="1" applyBorder="1" applyAlignment="1">
      <alignment horizontal="center" vertical="center" wrapText="1"/>
    </xf>
    <xf numFmtId="0" fontId="37" fillId="4" borderId="21" xfId="17" applyFont="1" applyFill="1" applyBorder="1" applyAlignment="1">
      <alignment horizontal="center" vertical="center" wrapText="1"/>
    </xf>
    <xf numFmtId="0" fontId="37" fillId="4" borderId="10" xfId="17" applyFont="1" applyFill="1" applyBorder="1" applyAlignment="1">
      <alignment horizontal="center" vertical="center" wrapText="1"/>
    </xf>
    <xf numFmtId="0" fontId="37" fillId="4" borderId="23" xfId="17" applyFont="1" applyFill="1" applyBorder="1" applyAlignment="1">
      <alignment horizontal="center" vertical="center" wrapText="1"/>
    </xf>
    <xf numFmtId="0" fontId="37" fillId="4" borderId="49" xfId="17" applyFont="1" applyFill="1" applyBorder="1" applyAlignment="1">
      <alignment horizontal="center" vertical="center"/>
    </xf>
    <xf numFmtId="0" fontId="37" fillId="4" borderId="61" xfId="17" applyFont="1" applyFill="1" applyBorder="1" applyAlignment="1">
      <alignment horizontal="center" vertical="center"/>
    </xf>
    <xf numFmtId="166" fontId="37" fillId="4" borderId="49" xfId="19" applyNumberFormat="1" applyFont="1" applyFill="1" applyBorder="1" applyAlignment="1">
      <alignment horizontal="center" vertical="center"/>
    </xf>
    <xf numFmtId="166" fontId="37" fillId="4" borderId="61" xfId="19" applyNumberFormat="1" applyFont="1" applyFill="1" applyBorder="1" applyAlignment="1">
      <alignment horizontal="center" vertical="center"/>
    </xf>
    <xf numFmtId="182" fontId="41" fillId="8" borderId="50" xfId="21" applyNumberFormat="1" applyFont="1" applyFill="1" applyBorder="1" applyAlignment="1">
      <alignment horizontal="center" vertical="center"/>
    </xf>
    <xf numFmtId="182" fontId="41" fillId="8" borderId="51" xfId="21" applyNumberFormat="1" applyFont="1" applyFill="1" applyBorder="1" applyAlignment="1">
      <alignment horizontal="center" vertical="center"/>
    </xf>
    <xf numFmtId="0" fontId="37" fillId="4" borderId="85" xfId="17" applyFont="1" applyFill="1" applyBorder="1" applyAlignment="1">
      <alignment horizontal="center" vertical="center" wrapText="1"/>
    </xf>
    <xf numFmtId="0" fontId="37" fillId="4" borderId="17" xfId="17" applyFont="1" applyFill="1" applyBorder="1" applyAlignment="1">
      <alignment horizontal="center" vertical="center" wrapText="1"/>
    </xf>
    <xf numFmtId="0" fontId="38" fillId="0" borderId="0" xfId="18" applyNumberFormat="1" applyFont="1" applyBorder="1" applyAlignment="1">
      <alignment horizontal="left" vertical="center" wrapText="1"/>
    </xf>
    <xf numFmtId="0" fontId="38" fillId="8" borderId="12" xfId="18" applyNumberFormat="1" applyFont="1" applyFill="1" applyBorder="1" applyAlignment="1">
      <alignment horizontal="left" vertical="center"/>
    </xf>
    <xf numFmtId="0" fontId="38" fillId="8" borderId="14" xfId="18" applyNumberFormat="1" applyFont="1" applyFill="1" applyBorder="1" applyAlignment="1">
      <alignment horizontal="left" vertical="center"/>
    </xf>
    <xf numFmtId="176" fontId="38" fillId="8" borderId="12" xfId="20" applyNumberFormat="1" applyFont="1" applyFill="1" applyBorder="1" applyAlignment="1">
      <alignment horizontal="center" vertical="center"/>
    </xf>
    <xf numFmtId="176" fontId="38" fillId="8" borderId="14" xfId="20" applyNumberFormat="1" applyFont="1" applyFill="1" applyBorder="1" applyAlignment="1">
      <alignment horizontal="center" vertical="center"/>
    </xf>
    <xf numFmtId="0" fontId="2" fillId="8" borderId="12" xfId="17" applyFont="1" applyFill="1" applyBorder="1" applyAlignment="1">
      <alignment horizontal="left" vertical="center"/>
    </xf>
    <xf numFmtId="0" fontId="2" fillId="8" borderId="14" xfId="17" applyFont="1" applyFill="1" applyBorder="1" applyAlignment="1">
      <alignment horizontal="left" vertical="center"/>
    </xf>
    <xf numFmtId="178" fontId="41" fillId="8" borderId="12" xfId="21" applyNumberFormat="1" applyFont="1" applyFill="1" applyBorder="1" applyAlignment="1">
      <alignment horizontal="center" vertical="center"/>
    </xf>
    <xf numFmtId="178" fontId="41" fillId="8" borderId="14" xfId="21" applyNumberFormat="1" applyFont="1" applyFill="1" applyBorder="1" applyAlignment="1">
      <alignment horizontal="center" vertical="center"/>
    </xf>
    <xf numFmtId="0" fontId="2" fillId="8" borderId="10" xfId="17" applyFont="1" applyFill="1" applyBorder="1" applyAlignment="1">
      <alignment horizontal="left" vertical="center"/>
    </xf>
    <xf numFmtId="0" fontId="2" fillId="8" borderId="23" xfId="17" applyFont="1" applyFill="1" applyBorder="1" applyAlignment="1">
      <alignment horizontal="left" vertical="center"/>
    </xf>
    <xf numFmtId="183" fontId="41" fillId="8" borderId="50" xfId="21" applyNumberFormat="1" applyFont="1" applyFill="1" applyBorder="1" applyAlignment="1">
      <alignment horizontal="center" vertical="center"/>
    </xf>
    <xf numFmtId="183" fontId="41" fillId="8" borderId="51" xfId="21" applyNumberFormat="1" applyFont="1" applyFill="1" applyBorder="1" applyAlignment="1">
      <alignment horizontal="center" vertical="center"/>
    </xf>
    <xf numFmtId="0" fontId="2" fillId="8" borderId="12" xfId="17" applyFont="1" applyFill="1" applyBorder="1" applyAlignment="1">
      <alignment horizontal="left" vertical="center" wrapText="1"/>
    </xf>
    <xf numFmtId="0" fontId="2" fillId="8" borderId="14" xfId="17" applyFont="1" applyFill="1" applyBorder="1" applyAlignment="1">
      <alignment horizontal="left" vertical="center" wrapText="1"/>
    </xf>
    <xf numFmtId="0" fontId="38" fillId="6" borderId="12" xfId="17" applyFont="1" applyFill="1" applyBorder="1" applyAlignment="1">
      <alignment horizontal="left" vertical="center"/>
    </xf>
    <xf numFmtId="0" fontId="38" fillId="6" borderId="14" xfId="17" applyFont="1" applyFill="1" applyBorder="1" applyAlignment="1">
      <alignment horizontal="left" vertical="center"/>
    </xf>
    <xf numFmtId="0" fontId="3" fillId="9" borderId="26" xfId="9" applyNumberFormat="1" applyFont="1" applyFill="1" applyBorder="1" applyAlignment="1">
      <alignment horizontal="left" vertical="center"/>
    </xf>
    <xf numFmtId="0" fontId="37" fillId="4" borderId="59" xfId="17" applyFont="1" applyFill="1" applyBorder="1" applyAlignment="1">
      <alignment horizontal="center" vertical="center"/>
    </xf>
    <xf numFmtId="0" fontId="37" fillId="4" borderId="17" xfId="17" applyFont="1" applyFill="1" applyBorder="1" applyAlignment="1">
      <alignment horizontal="center" vertical="center"/>
    </xf>
    <xf numFmtId="0" fontId="37" fillId="4" borderId="93" xfId="17" applyFont="1" applyFill="1" applyBorder="1" applyAlignment="1">
      <alignment horizontal="center" vertical="center"/>
    </xf>
    <xf numFmtId="0" fontId="38" fillId="4" borderId="88" xfId="17" applyFont="1" applyFill="1" applyBorder="1" applyAlignment="1">
      <alignment horizontal="center" vertical="center"/>
    </xf>
    <xf numFmtId="0" fontId="38" fillId="4" borderId="90" xfId="17" applyFont="1" applyFill="1" applyBorder="1" applyAlignment="1">
      <alignment horizontal="center" vertical="center"/>
    </xf>
    <xf numFmtId="178" fontId="41" fillId="0" borderId="10" xfId="21" applyNumberFormat="1" applyFont="1" applyFill="1" applyBorder="1" applyAlignment="1">
      <alignment horizontal="center" vertical="center"/>
    </xf>
    <xf numFmtId="178" fontId="41" fillId="0" borderId="23" xfId="21" applyNumberFormat="1" applyFont="1" applyFill="1" applyBorder="1" applyAlignment="1">
      <alignment horizontal="center" vertical="center"/>
    </xf>
    <xf numFmtId="0" fontId="2" fillId="8" borderId="20" xfId="17" applyFont="1" applyFill="1" applyBorder="1" applyAlignment="1">
      <alignment horizontal="left" vertical="center"/>
    </xf>
    <xf numFmtId="0" fontId="2" fillId="8" borderId="21" xfId="17" applyFont="1" applyFill="1" applyBorder="1" applyAlignment="1">
      <alignment horizontal="left" vertical="center"/>
    </xf>
    <xf numFmtId="0" fontId="37" fillId="4" borderId="58" xfId="17" applyFont="1" applyFill="1" applyBorder="1" applyAlignment="1">
      <alignment horizontal="center" vertical="center"/>
    </xf>
    <xf numFmtId="0" fontId="37" fillId="4" borderId="86" xfId="17" applyFont="1" applyFill="1" applyBorder="1" applyAlignment="1">
      <alignment horizontal="center" vertical="center"/>
    </xf>
    <xf numFmtId="0" fontId="37" fillId="4" borderId="87" xfId="17" applyFont="1" applyFill="1" applyBorder="1" applyAlignment="1">
      <alignment horizontal="center" vertical="center"/>
    </xf>
    <xf numFmtId="0" fontId="37" fillId="4" borderId="20" xfId="17" applyFont="1" applyFill="1" applyBorder="1" applyAlignment="1">
      <alignment horizontal="center" vertical="center"/>
    </xf>
    <xf numFmtId="0" fontId="37" fillId="4" borderId="21" xfId="17" applyFont="1" applyFill="1" applyBorder="1" applyAlignment="1">
      <alignment horizontal="center" vertical="center"/>
    </xf>
    <xf numFmtId="0" fontId="37" fillId="4" borderId="10" xfId="17" applyFont="1" applyFill="1" applyBorder="1" applyAlignment="1">
      <alignment horizontal="center" vertical="center"/>
    </xf>
    <xf numFmtId="0" fontId="37" fillId="4" borderId="23" xfId="17" applyFont="1" applyFill="1" applyBorder="1" applyAlignment="1">
      <alignment horizontal="center" vertical="center"/>
    </xf>
    <xf numFmtId="0" fontId="2" fillId="0" borderId="95" xfId="17" applyFont="1" applyBorder="1" applyAlignment="1">
      <alignment horizontal="left" vertical="center"/>
    </xf>
    <xf numFmtId="0" fontId="2" fillId="0" borderId="96" xfId="17" applyFont="1" applyBorder="1" applyAlignment="1">
      <alignment horizontal="left" vertical="center"/>
    </xf>
    <xf numFmtId="178" fontId="41" fillId="0" borderId="95" xfId="21" applyNumberFormat="1" applyFont="1" applyFill="1" applyBorder="1" applyAlignment="1">
      <alignment horizontal="center" vertical="center"/>
    </xf>
    <xf numFmtId="178" fontId="41" fillId="0" borderId="96" xfId="21" applyNumberFormat="1" applyFont="1" applyFill="1" applyBorder="1" applyAlignment="1">
      <alignment horizontal="center" vertical="center"/>
    </xf>
    <xf numFmtId="0" fontId="2" fillId="8" borderId="55"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0" borderId="12" xfId="17" applyFont="1" applyBorder="1" applyAlignment="1">
      <alignment horizontal="left" vertical="center"/>
    </xf>
    <xf numFmtId="0" fontId="2" fillId="0" borderId="14" xfId="17" applyFont="1" applyBorder="1" applyAlignment="1">
      <alignment horizontal="left" vertical="center"/>
    </xf>
    <xf numFmtId="178" fontId="41" fillId="0" borderId="12" xfId="21" applyNumberFormat="1" applyFont="1" applyFill="1" applyBorder="1" applyAlignment="1">
      <alignment horizontal="center" vertical="center"/>
    </xf>
    <xf numFmtId="178" fontId="41" fillId="0" borderId="14" xfId="21" applyNumberFormat="1" applyFont="1" applyFill="1" applyBorder="1" applyAlignment="1">
      <alignment horizontal="center" vertical="center"/>
    </xf>
    <xf numFmtId="0" fontId="2" fillId="0" borderId="10" xfId="17" applyFont="1" applyBorder="1" applyAlignment="1">
      <alignment horizontal="left" vertical="center"/>
    </xf>
    <xf numFmtId="0" fontId="2" fillId="0" borderId="23" xfId="17" applyFont="1" applyBorder="1" applyAlignment="1">
      <alignment horizontal="left" vertical="center"/>
    </xf>
    <xf numFmtId="0" fontId="23" fillId="5" borderId="20" xfId="0" applyFont="1" applyFill="1" applyBorder="1" applyAlignment="1">
      <alignment horizontal="center" vertical="center"/>
    </xf>
    <xf numFmtId="0" fontId="23" fillId="5" borderId="18" xfId="0" applyFont="1" applyFill="1" applyBorder="1" applyAlignment="1">
      <alignment horizontal="center" vertical="center"/>
    </xf>
    <xf numFmtId="0" fontId="23" fillId="5" borderId="21" xfId="0" applyFont="1" applyFill="1" applyBorder="1" applyAlignment="1">
      <alignment horizontal="center" vertical="center"/>
    </xf>
    <xf numFmtId="0" fontId="9" fillId="5" borderId="23" xfId="0" applyFont="1" applyFill="1" applyBorder="1" applyAlignment="1">
      <alignment horizontal="center" vertical="center"/>
    </xf>
    <xf numFmtId="166" fontId="37" fillId="4" borderId="84" xfId="19" applyNumberFormat="1" applyFont="1" applyFill="1" applyBorder="1" applyAlignment="1">
      <alignment horizontal="center" vertical="center"/>
    </xf>
    <xf numFmtId="0" fontId="37" fillId="4" borderId="85" xfId="17" applyFont="1" applyFill="1" applyBorder="1" applyAlignment="1">
      <alignment horizontal="center" vertical="center"/>
    </xf>
    <xf numFmtId="168" fontId="15" fillId="0" borderId="0" xfId="9" applyNumberFormat="1" applyFont="1" applyFill="1" applyBorder="1" applyAlignment="1">
      <alignment horizontal="left" vertical="center"/>
    </xf>
    <xf numFmtId="168" fontId="15" fillId="0" borderId="22" xfId="9" applyNumberFormat="1" applyFont="1" applyFill="1" applyBorder="1" applyAlignment="1">
      <alignment horizontal="left" vertical="center"/>
    </xf>
    <xf numFmtId="0" fontId="37" fillId="4" borderId="84" xfId="17" applyFont="1" applyFill="1" applyBorder="1" applyAlignment="1">
      <alignment horizontal="center" vertical="center" wrapText="1"/>
    </xf>
    <xf numFmtId="0" fontId="37" fillId="4" borderId="61" xfId="17" applyFont="1" applyFill="1" applyBorder="1" applyAlignment="1">
      <alignment horizontal="center" vertical="center" wrapText="1"/>
    </xf>
    <xf numFmtId="166" fontId="37" fillId="4" borderId="84" xfId="19" applyNumberFormat="1" applyFont="1" applyFill="1" applyBorder="1" applyAlignment="1">
      <alignment horizontal="center" vertical="center" wrapText="1"/>
    </xf>
    <xf numFmtId="166" fontId="37" fillId="4" borderId="61" xfId="19" applyNumberFormat="1" applyFont="1" applyFill="1" applyBorder="1" applyAlignment="1">
      <alignment horizontal="center" vertical="center" wrapText="1"/>
    </xf>
    <xf numFmtId="0" fontId="37" fillId="4" borderId="83" xfId="17" applyFont="1" applyFill="1" applyBorder="1" applyAlignment="1">
      <alignment horizontal="center" vertical="center"/>
    </xf>
    <xf numFmtId="0" fontId="37" fillId="4" borderId="3" xfId="17" applyFont="1" applyFill="1" applyBorder="1" applyAlignment="1">
      <alignment horizontal="center" vertical="center" wrapText="1"/>
    </xf>
    <xf numFmtId="0" fontId="37" fillId="4" borderId="28" xfId="17" applyFont="1" applyFill="1" applyBorder="1" applyAlignment="1">
      <alignment horizontal="center" vertical="center" wrapText="1"/>
    </xf>
    <xf numFmtId="0" fontId="38" fillId="8" borderId="95" xfId="18" applyNumberFormat="1" applyFont="1" applyFill="1" applyBorder="1" applyAlignment="1">
      <alignment horizontal="left" vertical="center"/>
    </xf>
    <xf numFmtId="0" fontId="38" fillId="8" borderId="96" xfId="18" applyNumberFormat="1" applyFont="1" applyFill="1" applyBorder="1" applyAlignment="1">
      <alignment horizontal="left" vertical="center"/>
    </xf>
    <xf numFmtId="0" fontId="16" fillId="0" borderId="6" xfId="0" applyFont="1" applyBorder="1" applyAlignment="1">
      <alignment horizontal="center" vertical="center"/>
    </xf>
    <xf numFmtId="167" fontId="15" fillId="0" borderId="18" xfId="9" applyFont="1" applyFill="1" applyBorder="1" applyAlignment="1">
      <alignment horizontal="left" vertical="center" wrapText="1"/>
    </xf>
    <xf numFmtId="167" fontId="15" fillId="0" borderId="21" xfId="9" applyFont="1" applyFill="1" applyBorder="1" applyAlignment="1">
      <alignment horizontal="left" vertical="center" wrapText="1"/>
    </xf>
    <xf numFmtId="167" fontId="15" fillId="0" borderId="0" xfId="9" applyFont="1" applyFill="1" applyBorder="1" applyAlignment="1">
      <alignment horizontal="left" vertical="center"/>
    </xf>
    <xf numFmtId="167" fontId="15" fillId="0" borderId="22" xfId="9" applyFont="1" applyFill="1" applyBorder="1" applyAlignment="1">
      <alignment horizontal="left" vertical="center"/>
    </xf>
    <xf numFmtId="0" fontId="17" fillId="0" borderId="6" xfId="0" applyFont="1" applyBorder="1" applyAlignment="1">
      <alignment horizontal="center" vertical="center"/>
    </xf>
    <xf numFmtId="176" fontId="37" fillId="8" borderId="12" xfId="17" applyNumberFormat="1" applyFont="1" applyFill="1" applyBorder="1" applyAlignment="1">
      <alignment horizontal="center" vertical="center"/>
    </xf>
    <xf numFmtId="176" fontId="37" fillId="8" borderId="14" xfId="17" applyNumberFormat="1" applyFont="1" applyFill="1" applyBorder="1" applyAlignment="1">
      <alignment horizontal="center" vertical="center"/>
    </xf>
    <xf numFmtId="0" fontId="25" fillId="2" borderId="59" xfId="0" applyFont="1" applyFill="1" applyBorder="1" applyAlignment="1">
      <alignment horizontal="center" vertical="center"/>
    </xf>
    <xf numFmtId="0" fontId="25" fillId="2" borderId="62" xfId="0" applyFont="1" applyFill="1" applyBorder="1" applyAlignment="1">
      <alignment horizontal="center" vertical="center"/>
    </xf>
    <xf numFmtId="0" fontId="23" fillId="5" borderId="2" xfId="0" applyFont="1" applyFill="1" applyBorder="1" applyAlignment="1">
      <alignment horizontal="center" vertical="center"/>
    </xf>
    <xf numFmtId="0" fontId="23" fillId="5" borderId="4" xfId="0" applyFont="1" applyFill="1" applyBorder="1" applyAlignment="1">
      <alignment horizontal="center" vertical="center"/>
    </xf>
    <xf numFmtId="0" fontId="12" fillId="0" borderId="5" xfId="0" applyFont="1" applyBorder="1" applyAlignment="1">
      <alignment horizontal="left" vertical="center"/>
    </xf>
    <xf numFmtId="0" fontId="12" fillId="0" borderId="0" xfId="0" applyFont="1" applyBorder="1" applyAlignment="1">
      <alignment horizontal="left" vertical="center"/>
    </xf>
    <xf numFmtId="0" fontId="15" fillId="0" borderId="18" xfId="0" applyFont="1" applyBorder="1" applyAlignment="1">
      <alignment vertical="center" wrapText="1"/>
    </xf>
    <xf numFmtId="0" fontId="15" fillId="0" borderId="19" xfId="0" applyFont="1" applyBorder="1" applyAlignment="1">
      <alignment vertical="center" wrapText="1"/>
    </xf>
    <xf numFmtId="0" fontId="15" fillId="0" borderId="5" xfId="0" applyFont="1" applyBorder="1" applyAlignment="1">
      <alignment horizontal="center" vertical="center"/>
    </xf>
    <xf numFmtId="0" fontId="15" fillId="0" borderId="0" xfId="0" applyFont="1" applyBorder="1" applyAlignment="1">
      <alignment horizontal="center" vertical="center"/>
    </xf>
    <xf numFmtId="168" fontId="15" fillId="0" borderId="9" xfId="0" applyNumberFormat="1" applyFont="1" applyBorder="1" applyAlignment="1">
      <alignment horizontal="left" vertical="center"/>
    </xf>
    <xf numFmtId="168" fontId="15" fillId="0" borderId="11" xfId="0" applyNumberFormat="1" applyFont="1" applyBorder="1" applyAlignment="1">
      <alignment horizontal="left" vertical="center"/>
    </xf>
    <xf numFmtId="0" fontId="25" fillId="2" borderId="58" xfId="0" applyFont="1" applyFill="1" applyBorder="1" applyAlignment="1">
      <alignment horizontal="center" vertical="center"/>
    </xf>
    <xf numFmtId="0" fontId="25" fillId="2" borderId="60" xfId="0" applyFont="1" applyFill="1" applyBorder="1" applyAlignment="1">
      <alignment horizontal="center" vertical="center"/>
    </xf>
    <xf numFmtId="0" fontId="25" fillId="2" borderId="20" xfId="0" applyFont="1" applyFill="1" applyBorder="1" applyAlignment="1">
      <alignment horizontal="center" vertical="center"/>
    </xf>
    <xf numFmtId="0" fontId="25" fillId="2" borderId="18" xfId="0" applyFont="1" applyFill="1" applyBorder="1" applyAlignment="1">
      <alignment horizontal="center" vertical="center"/>
    </xf>
    <xf numFmtId="0" fontId="25" fillId="2" borderId="21"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23" xfId="0" applyFont="1" applyFill="1" applyBorder="1" applyAlignment="1">
      <alignment horizontal="center" vertical="center"/>
    </xf>
    <xf numFmtId="0" fontId="25" fillId="2" borderId="49" xfId="0" applyFont="1" applyFill="1" applyBorder="1" applyAlignment="1">
      <alignment horizontal="center" vertical="center"/>
    </xf>
    <xf numFmtId="0" fontId="25" fillId="2" borderId="61" xfId="0" applyFont="1" applyFill="1" applyBorder="1" applyAlignment="1">
      <alignment horizontal="center" vertical="center"/>
    </xf>
    <xf numFmtId="0" fontId="11" fillId="0" borderId="13" xfId="0" applyFont="1" applyBorder="1" applyAlignment="1">
      <alignment horizontal="right" vertical="center"/>
    </xf>
    <xf numFmtId="0" fontId="29" fillId="0" borderId="12" xfId="0" applyFont="1" applyBorder="1" applyAlignment="1">
      <alignment horizontal="right" vertical="center"/>
    </xf>
    <xf numFmtId="0" fontId="29" fillId="0" borderId="13" xfId="0" applyFont="1" applyBorder="1" applyAlignment="1">
      <alignment horizontal="right" vertical="center"/>
    </xf>
    <xf numFmtId="0" fontId="12" fillId="0" borderId="18" xfId="0" applyFont="1" applyBorder="1" applyAlignment="1">
      <alignment horizontal="center" vertical="center"/>
    </xf>
    <xf numFmtId="167" fontId="32" fillId="0" borderId="18" xfId="9" applyFont="1" applyBorder="1" applyAlignment="1">
      <alignment horizontal="left" vertical="center"/>
    </xf>
    <xf numFmtId="167" fontId="32" fillId="0" borderId="19" xfId="9" applyFont="1" applyBorder="1" applyAlignment="1">
      <alignment horizontal="left" vertical="center"/>
    </xf>
    <xf numFmtId="0" fontId="11" fillId="0" borderId="50" xfId="0" applyFont="1" applyFill="1" applyBorder="1" applyAlignment="1">
      <alignment horizontal="left" vertical="center"/>
    </xf>
    <xf numFmtId="0" fontId="11" fillId="0" borderId="64" xfId="0" applyFont="1" applyFill="1" applyBorder="1" applyAlignment="1">
      <alignment horizontal="left" vertical="center"/>
    </xf>
    <xf numFmtId="0" fontId="11" fillId="0" borderId="51" xfId="0" applyFont="1" applyFill="1" applyBorder="1" applyAlignment="1">
      <alignment horizontal="left" vertical="center"/>
    </xf>
    <xf numFmtId="0" fontId="11" fillId="0" borderId="55" xfId="0" applyFont="1" applyBorder="1" applyAlignment="1">
      <alignment horizontal="left" vertical="center"/>
    </xf>
    <xf numFmtId="0" fontId="11" fillId="0" borderId="69" xfId="0" applyFont="1" applyBorder="1" applyAlignment="1">
      <alignment horizontal="left" vertical="center"/>
    </xf>
    <xf numFmtId="0" fontId="11" fillId="0" borderId="56" xfId="0" applyFont="1" applyBorder="1" applyAlignment="1">
      <alignment horizontal="left" vertical="center"/>
    </xf>
    <xf numFmtId="0" fontId="11" fillId="8" borderId="50" xfId="0" applyFont="1" applyFill="1" applyBorder="1" applyAlignment="1">
      <alignment vertical="center"/>
    </xf>
    <xf numFmtId="0" fontId="11" fillId="8" borderId="64" xfId="0" applyFont="1" applyFill="1" applyBorder="1" applyAlignment="1">
      <alignment vertical="center"/>
    </xf>
    <xf numFmtId="0" fontId="11" fillId="8" borderId="51" xfId="0" applyFont="1" applyFill="1" applyBorder="1" applyAlignment="1">
      <alignment vertical="center"/>
    </xf>
    <xf numFmtId="0" fontId="11" fillId="0" borderId="50" xfId="0" applyFont="1" applyBorder="1" applyAlignment="1">
      <alignment vertical="center"/>
    </xf>
    <xf numFmtId="0" fontId="11" fillId="0" borderId="64" xfId="0" applyFont="1" applyBorder="1" applyAlignment="1">
      <alignment vertical="center"/>
    </xf>
    <xf numFmtId="0" fontId="11" fillId="0" borderId="51" xfId="0" applyFont="1" applyBorder="1" applyAlignment="1">
      <alignment vertical="center"/>
    </xf>
    <xf numFmtId="0" fontId="11" fillId="0" borderId="77" xfId="0" applyFont="1" applyBorder="1" applyAlignment="1">
      <alignment vertical="center"/>
    </xf>
    <xf numFmtId="0" fontId="11" fillId="0" borderId="78" xfId="0" quotePrefix="1" applyFont="1" applyBorder="1" applyAlignment="1">
      <alignment vertical="center"/>
    </xf>
    <xf numFmtId="0" fontId="11" fillId="0" borderId="79" xfId="0" quotePrefix="1" applyFont="1" applyBorder="1" applyAlignment="1">
      <alignment vertical="center"/>
    </xf>
  </cellXfs>
  <cellStyles count="29">
    <cellStyle name="Comma [0]" xfId="14" builtinId="6"/>
    <cellStyle name="Comma [0] 10 2" xfId="23" xr:uid="{C822C7FF-981C-49A8-9D6F-0F7E1E8462C5}"/>
    <cellStyle name="Comma [0] 11" xfId="18" xr:uid="{0AFFFED1-6D96-433A-89F3-07C968F25909}"/>
    <cellStyle name="Comma [0] 2" xfId="9" xr:uid="{ACCEF4FB-6CD0-4415-B7C1-85C4F702F0E2}"/>
    <cellStyle name="Comma [0] 2 10" xfId="15" xr:uid="{BE7D2B20-8F3F-413E-B5CE-12A3A970D64D}"/>
    <cellStyle name="Comma 3 8 2 3" xfId="24" xr:uid="{30395A6F-8206-445E-BF7A-358954B55B74}"/>
    <cellStyle name="Comma 32 2 2" xfId="7" xr:uid="{A679FF66-681C-45A3-ABEB-3F46887FF6C8}"/>
    <cellStyle name="Comma 33" xfId="3" xr:uid="{E148A42A-1DE0-4C3E-8CD8-0095F0CF865C}"/>
    <cellStyle name="Currency [0]" xfId="1" builtinId="7"/>
    <cellStyle name="Currency [0] 11 2" xfId="16" xr:uid="{1E098FFB-FEE6-468A-BC7C-998AA8E174E0}"/>
    <cellStyle name="Currency [0] 12" xfId="12" xr:uid="{E21CAE75-162F-44EC-8FD0-16AA05106059}"/>
    <cellStyle name="Currency [0] 16" xfId="19" xr:uid="{6DE7F342-2F9C-40AE-9525-65D55106C20E}"/>
    <cellStyle name="Normal" xfId="0" builtinId="0"/>
    <cellStyle name="Normal 10 2 3 2" xfId="6" xr:uid="{4FC9BAC8-A8EB-4F5A-B512-22249F5DACE6}"/>
    <cellStyle name="Normal 10 4" xfId="22" xr:uid="{09372448-1565-49F1-9CE3-C22AE9A29C48}"/>
    <cellStyle name="Normal 11" xfId="26" xr:uid="{65B504CA-C7DB-4224-B38E-7ABBA99511D1}"/>
    <cellStyle name="Normal 12 3 2" xfId="10" xr:uid="{F00D2807-F112-4EA5-B1FA-5C57601C3486}"/>
    <cellStyle name="Normal 16 2 2" xfId="5" xr:uid="{E7854D65-F752-4D01-ADE7-F5B4C214DC14}"/>
    <cellStyle name="Normal 2 2 9 2" xfId="2" xr:uid="{DDDE6FBA-1820-446C-8C0D-C034B7150377}"/>
    <cellStyle name="Normal 2 2 9 2 2" xfId="11" xr:uid="{6AA62620-2654-43FD-B893-083FB108DD79}"/>
    <cellStyle name="Normal 2 3 2 2" xfId="4" xr:uid="{0B72EDEC-81A0-4C20-8739-EC1C9F0DD699}"/>
    <cellStyle name="Normal 35" xfId="17" xr:uid="{5EAC3109-22D4-429A-90EF-2D649BE315FC}"/>
    <cellStyle name="Normal 37" xfId="28" xr:uid="{8F92FF2C-2598-4604-80A6-231F75E7DD4B}"/>
    <cellStyle name="Normal_C-00129 Cleaning SES &amp; Lab" xfId="21" xr:uid="{E1066DAE-659C-4509-B5F9-1EE8E26F7A08}"/>
    <cellStyle name="Percent" xfId="25" builtinId="5"/>
    <cellStyle name="Percent 11" xfId="13" xr:uid="{77EB7FF4-3864-4659-902A-0737E684B6E8}"/>
    <cellStyle name="Percent 15" xfId="27" xr:uid="{F693018E-6621-4F58-8AF5-3D9A21973116}"/>
    <cellStyle name="Percent 18 2 2" xfId="8" xr:uid="{42452435-73EC-4FF7-92E0-BC471FCF8AE8}"/>
    <cellStyle name="Percent 20" xfId="20" xr:uid="{2E5A5338-9C73-4302-9273-F60DBCF1CAA0}"/>
  </cellStyles>
  <dxfs count="21">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10</xdr:col>
      <xdr:colOff>1200150</xdr:colOff>
      <xdr:row>23</xdr:row>
      <xdr:rowOff>142875</xdr:rowOff>
    </xdr:from>
    <xdr:to>
      <xdr:col>11</xdr:col>
      <xdr:colOff>28574</xdr:colOff>
      <xdr:row>24</xdr:row>
      <xdr:rowOff>152400</xdr:rowOff>
    </xdr:to>
    <xdr:sp macro="" textlink="">
      <xdr:nvSpPr>
        <xdr:cNvPr id="2" name="Curved Right Arrow 2">
          <a:extLst>
            <a:ext uri="{FF2B5EF4-FFF2-40B4-BE49-F238E27FC236}">
              <a16:creationId xmlns:a16="http://schemas.microsoft.com/office/drawing/2014/main" id="{E7F62885-D576-4DE5-935B-7B712FEE0C03}"/>
            </a:ext>
          </a:extLst>
        </xdr:cNvPr>
        <xdr:cNvSpPr/>
      </xdr:nvSpPr>
      <xdr:spPr>
        <a:xfrm>
          <a:off x="5553075" y="4924425"/>
          <a:ext cx="209549" cy="200025"/>
        </a:xfrm>
        <a:prstGeom prst="curvedRightArrow">
          <a:avLst/>
        </a:prstGeom>
        <a:solidFill>
          <a:sysClr val="window" lastClr="FFFFFF"/>
        </a:solidFill>
        <a:ln w="6350"/>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6BFBD-FB06-4868-B799-A284EA44E8AA}">
  <sheetPr>
    <pageSetUpPr fitToPage="1"/>
  </sheetPr>
  <dimension ref="A1:Q29"/>
  <sheetViews>
    <sheetView showGridLines="0" tabSelected="1" zoomScale="85" zoomScaleNormal="85" workbookViewId="0">
      <selection activeCell="H19" sqref="H19"/>
    </sheetView>
  </sheetViews>
  <sheetFormatPr defaultColWidth="9.109375" defaultRowHeight="14.4" x14ac:dyDescent="0.3"/>
  <cols>
    <col min="1" max="1" width="6.33203125" style="26" customWidth="1"/>
    <col min="2" max="2" width="22" style="26" customWidth="1"/>
    <col min="3" max="3" width="11.6640625" style="26" customWidth="1"/>
    <col min="4" max="4" width="19.44140625" style="26" customWidth="1"/>
    <col min="5" max="5" width="5.88671875" style="26" customWidth="1"/>
    <col min="6" max="6" width="2.44140625" style="26" customWidth="1"/>
    <col min="7" max="7" width="12.6640625" style="26" customWidth="1"/>
    <col min="8" max="8" width="25.6640625" style="239" customWidth="1"/>
    <col min="9" max="9" width="17.44140625" style="26" customWidth="1"/>
    <col min="10" max="10" width="2.33203125" style="1" customWidth="1"/>
    <col min="11" max="13" width="5.33203125" style="1" customWidth="1"/>
    <col min="14" max="14" width="21.5546875" style="1" customWidth="1"/>
    <col min="15" max="15" width="20.33203125" style="1" customWidth="1"/>
    <col min="16" max="16" width="20" style="1" customWidth="1"/>
    <col min="17" max="16384" width="9.109375" style="1"/>
  </cols>
  <sheetData>
    <row r="1" spans="1:17" ht="25.8" x14ac:dyDescent="0.3">
      <c r="A1" s="346"/>
      <c r="B1" s="347"/>
      <c r="C1" s="348"/>
      <c r="D1" s="349" t="s">
        <v>137</v>
      </c>
      <c r="E1" s="350"/>
      <c r="F1" s="350"/>
      <c r="G1" s="350"/>
      <c r="H1" s="350"/>
      <c r="I1" s="351"/>
    </row>
    <row r="2" spans="1:17" ht="18" x14ac:dyDescent="0.3">
      <c r="A2" s="352"/>
      <c r="B2" s="353"/>
      <c r="C2" s="354"/>
      <c r="D2" s="355" t="s">
        <v>9</v>
      </c>
      <c r="E2" s="356"/>
      <c r="F2" s="356"/>
      <c r="G2" s="356"/>
      <c r="H2" s="356"/>
      <c r="I2" s="357"/>
    </row>
    <row r="3" spans="1:17" ht="45" customHeight="1" x14ac:dyDescent="0.3">
      <c r="A3" s="358"/>
      <c r="B3" s="359"/>
      <c r="C3" s="360"/>
      <c r="D3" s="2" t="s">
        <v>10</v>
      </c>
      <c r="E3" s="3" t="s">
        <v>0</v>
      </c>
      <c r="F3" s="361" t="s">
        <v>125</v>
      </c>
      <c r="G3" s="361"/>
      <c r="H3" s="361"/>
      <c r="I3" s="362"/>
    </row>
    <row r="4" spans="1:17" ht="18" x14ac:dyDescent="0.3">
      <c r="A4" s="370"/>
      <c r="B4" s="371"/>
      <c r="C4" s="372"/>
      <c r="D4" s="2" t="s">
        <v>11</v>
      </c>
      <c r="E4" s="3" t="s">
        <v>0</v>
      </c>
      <c r="F4" s="373" t="s">
        <v>126</v>
      </c>
      <c r="G4" s="373"/>
      <c r="H4" s="373"/>
      <c r="I4" s="374"/>
    </row>
    <row r="5" spans="1:17" ht="21" x14ac:dyDescent="0.3">
      <c r="A5" s="375"/>
      <c r="B5" s="376"/>
      <c r="C5" s="377"/>
      <c r="D5" s="2" t="s">
        <v>12</v>
      </c>
      <c r="E5" s="3" t="s">
        <v>0</v>
      </c>
      <c r="F5" s="373" t="s">
        <v>3</v>
      </c>
      <c r="G5" s="373"/>
      <c r="H5" s="373"/>
      <c r="I5" s="374"/>
    </row>
    <row r="6" spans="1:17" ht="18.600000000000001" thickBot="1" x14ac:dyDescent="0.35">
      <c r="A6" s="378"/>
      <c r="B6" s="379"/>
      <c r="C6" s="380"/>
      <c r="D6" s="4" t="s">
        <v>2</v>
      </c>
      <c r="E6" s="5" t="s">
        <v>0</v>
      </c>
      <c r="F6" s="381">
        <v>9</v>
      </c>
      <c r="G6" s="381"/>
      <c r="H6" s="381"/>
      <c r="I6" s="382"/>
    </row>
    <row r="7" spans="1:17" ht="18.600000000000001" thickBot="1" x14ac:dyDescent="0.35">
      <c r="A7" s="6"/>
      <c r="B7" s="7"/>
      <c r="C7" s="7"/>
      <c r="D7" s="7"/>
      <c r="E7" s="7"/>
      <c r="F7" s="7"/>
      <c r="G7" s="7"/>
      <c r="H7" s="233"/>
      <c r="I7" s="8" t="s">
        <v>13</v>
      </c>
    </row>
    <row r="8" spans="1:17" ht="31.8" thickBot="1" x14ac:dyDescent="0.35">
      <c r="A8" s="9" t="s">
        <v>14</v>
      </c>
      <c r="B8" s="363" t="s">
        <v>5</v>
      </c>
      <c r="C8" s="363"/>
      <c r="D8" s="363"/>
      <c r="E8" s="363"/>
      <c r="F8" s="363"/>
      <c r="G8" s="364"/>
      <c r="H8" s="234" t="s">
        <v>15</v>
      </c>
      <c r="I8" s="10" t="s">
        <v>16</v>
      </c>
      <c r="N8" s="10" t="s">
        <v>109</v>
      </c>
      <c r="O8" s="10" t="s">
        <v>110</v>
      </c>
      <c r="P8" s="10" t="s">
        <v>90</v>
      </c>
      <c r="Q8" s="10" t="s">
        <v>111</v>
      </c>
    </row>
    <row r="9" spans="1:17" ht="15.6" x14ac:dyDescent="0.3">
      <c r="A9" s="11"/>
      <c r="B9" s="12" t="s">
        <v>89</v>
      </c>
      <c r="C9" s="12"/>
      <c r="D9" s="12"/>
      <c r="E9" s="12"/>
      <c r="F9" s="12"/>
      <c r="G9" s="12"/>
      <c r="H9" s="235"/>
      <c r="I9" s="13"/>
    </row>
    <row r="10" spans="1:17" ht="15.6" x14ac:dyDescent="0.3">
      <c r="A10" s="14" t="s">
        <v>17</v>
      </c>
      <c r="B10" s="365" t="s">
        <v>88</v>
      </c>
      <c r="C10" s="365"/>
      <c r="D10" s="365"/>
      <c r="E10" s="365"/>
      <c r="F10" s="365"/>
      <c r="G10" s="365"/>
      <c r="H10" s="236">
        <f>'4'!H39</f>
        <v>2103545000</v>
      </c>
      <c r="I10" s="15" t="s">
        <v>18</v>
      </c>
      <c r="N10" s="315">
        <f>'4'!S39</f>
        <v>2103545000</v>
      </c>
      <c r="O10" s="315">
        <f>'4'!T39</f>
        <v>0</v>
      </c>
      <c r="P10" s="315">
        <f>N10+O10</f>
        <v>2103545000</v>
      </c>
      <c r="Q10" s="316">
        <f>N10/$P$18</f>
        <v>0.65818156786853543</v>
      </c>
    </row>
    <row r="11" spans="1:17" ht="15.6" x14ac:dyDescent="0.3">
      <c r="A11" s="14" t="s">
        <v>19</v>
      </c>
      <c r="B11" s="365" t="s">
        <v>100</v>
      </c>
      <c r="C11" s="365"/>
      <c r="D11" s="365"/>
      <c r="E11" s="365"/>
      <c r="F11" s="365"/>
      <c r="G11" s="365"/>
      <c r="H11" s="236">
        <f>'4'!H59</f>
        <v>669500000</v>
      </c>
      <c r="I11" s="16" t="s">
        <v>18</v>
      </c>
      <c r="N11" s="315">
        <f>'4'!S59</f>
        <v>502125000</v>
      </c>
      <c r="O11" s="315">
        <f>'4'!T59</f>
        <v>167375000</v>
      </c>
      <c r="P11" s="315">
        <f>N11+O11</f>
        <v>669500000</v>
      </c>
      <c r="Q11" s="316">
        <f>N11/$P$18</f>
        <v>0.15711069635590794</v>
      </c>
    </row>
    <row r="12" spans="1:17" ht="15.6" x14ac:dyDescent="0.3">
      <c r="A12" s="14" t="s">
        <v>21</v>
      </c>
      <c r="B12" s="365" t="s">
        <v>22</v>
      </c>
      <c r="C12" s="365"/>
      <c r="D12" s="365"/>
      <c r="E12" s="365"/>
      <c r="F12" s="365"/>
      <c r="G12" s="365"/>
      <c r="H12" s="236">
        <f>'4'!H75</f>
        <v>399950000</v>
      </c>
      <c r="I12" s="16" t="s">
        <v>18</v>
      </c>
      <c r="N12" s="315">
        <f>'4'!S75</f>
        <v>22500000</v>
      </c>
      <c r="O12" s="315">
        <f>'4'!T75</f>
        <v>399950000</v>
      </c>
      <c r="P12" s="315">
        <f t="shared" ref="P12:P14" si="0">N12+O12</f>
        <v>422450000</v>
      </c>
      <c r="Q12" s="316">
        <f>N12/$P$18</f>
        <v>7.0400610764409831E-3</v>
      </c>
    </row>
    <row r="13" spans="1:17" s="18" customFormat="1" ht="16.2" thickBot="1" x14ac:dyDescent="0.35">
      <c r="A13" s="14">
        <v>4</v>
      </c>
      <c r="B13" s="367" t="s">
        <v>116</v>
      </c>
      <c r="C13" s="368"/>
      <c r="D13" s="368"/>
      <c r="E13" s="368"/>
      <c r="F13" s="368"/>
      <c r="G13" s="369"/>
      <c r="H13" s="237">
        <f>SUM(H10:H12)</f>
        <v>3172995000</v>
      </c>
      <c r="I13" s="17" t="s">
        <v>18</v>
      </c>
      <c r="N13" s="305"/>
      <c r="O13" s="305"/>
      <c r="P13" s="302"/>
      <c r="Q13" s="314"/>
    </row>
    <row r="14" spans="1:17" ht="15.6" x14ac:dyDescent="0.3">
      <c r="A14" s="14">
        <v>5</v>
      </c>
      <c r="B14" s="292" t="s">
        <v>91</v>
      </c>
      <c r="C14" s="293"/>
      <c r="D14" s="292"/>
      <c r="E14" s="294" t="s">
        <v>92</v>
      </c>
      <c r="F14" s="292"/>
      <c r="G14" s="293"/>
      <c r="H14" s="236">
        <f>'7'!L24</f>
        <v>500000</v>
      </c>
      <c r="I14" s="16" t="s">
        <v>18</v>
      </c>
      <c r="N14" s="315">
        <f>'7'!R24</f>
        <v>500000</v>
      </c>
      <c r="O14" s="315">
        <f>'7'!S24</f>
        <v>0</v>
      </c>
      <c r="P14" s="315">
        <f t="shared" si="0"/>
        <v>500000</v>
      </c>
      <c r="Q14" s="316">
        <f>N14/$P$18</f>
        <v>1.5644580169868851E-4</v>
      </c>
    </row>
    <row r="15" spans="1:17" s="24" customFormat="1" ht="15.6" x14ac:dyDescent="0.3">
      <c r="A15" s="14">
        <v>6</v>
      </c>
      <c r="B15" s="295" t="s">
        <v>93</v>
      </c>
      <c r="C15" s="296"/>
      <c r="D15" s="295"/>
      <c r="E15" s="296"/>
      <c r="F15" s="295"/>
      <c r="G15" s="297">
        <v>0.08</v>
      </c>
      <c r="H15" s="240">
        <f>(H13+H14)*G15</f>
        <v>253879600</v>
      </c>
      <c r="I15" s="16" t="s">
        <v>18</v>
      </c>
      <c r="K15" s="241"/>
      <c r="L15" s="241"/>
      <c r="M15" s="241"/>
      <c r="N15" s="302"/>
      <c r="O15" s="303"/>
      <c r="P15" s="303"/>
      <c r="Q15" s="314"/>
    </row>
    <row r="16" spans="1:17" s="18" customFormat="1" ht="16.2" thickBot="1" x14ac:dyDescent="0.35">
      <c r="A16" s="14">
        <v>7</v>
      </c>
      <c r="B16" s="367" t="s">
        <v>116</v>
      </c>
      <c r="C16" s="368"/>
      <c r="D16" s="368"/>
      <c r="E16" s="368"/>
      <c r="F16" s="368"/>
      <c r="G16" s="369"/>
      <c r="H16" s="237">
        <f>SUM(H13:H15)</f>
        <v>3427374600</v>
      </c>
      <c r="I16" s="17" t="s">
        <v>18</v>
      </c>
      <c r="N16" s="305"/>
      <c r="O16" s="305"/>
      <c r="P16" s="302"/>
      <c r="Q16" s="314"/>
    </row>
    <row r="17" spans="1:17" ht="15.6" x14ac:dyDescent="0.3">
      <c r="A17" s="14">
        <v>8</v>
      </c>
      <c r="B17" s="292" t="s">
        <v>121</v>
      </c>
      <c r="C17" s="293"/>
      <c r="D17" s="292"/>
      <c r="E17" s="294"/>
      <c r="F17" s="292"/>
      <c r="G17" s="293"/>
      <c r="H17" s="343">
        <v>10000000</v>
      </c>
      <c r="I17" s="16" t="s">
        <v>18</v>
      </c>
      <c r="N17" s="315">
        <f>'7'!R27</f>
        <v>0</v>
      </c>
      <c r="O17" s="315">
        <f>'7'!S27</f>
        <v>0</v>
      </c>
      <c r="P17" s="315">
        <f t="shared" ref="P17" si="1">N17+O17</f>
        <v>0</v>
      </c>
      <c r="Q17" s="316">
        <f>N17/$P$18</f>
        <v>0</v>
      </c>
    </row>
    <row r="18" spans="1:17" s="18" customFormat="1" ht="15.6" x14ac:dyDescent="0.3">
      <c r="A18" s="14">
        <v>9</v>
      </c>
      <c r="B18" s="366" t="s">
        <v>120</v>
      </c>
      <c r="C18" s="366"/>
      <c r="D18" s="366"/>
      <c r="E18" s="366"/>
      <c r="F18" s="366"/>
      <c r="G18" s="366"/>
      <c r="H18" s="326">
        <f>H16+H17</f>
        <v>3437374600</v>
      </c>
      <c r="I18" s="17" t="s">
        <v>18</v>
      </c>
      <c r="K18" s="242"/>
      <c r="L18" s="242"/>
      <c r="M18" s="242"/>
      <c r="N18" s="317">
        <f>SUM(N10:N15)</f>
        <v>2628670000</v>
      </c>
      <c r="O18" s="317">
        <f>SUM(O10:O15)</f>
        <v>567325000</v>
      </c>
      <c r="P18" s="317">
        <f>SUM(P10:P15)</f>
        <v>3195995000</v>
      </c>
      <c r="Q18" s="304">
        <f>N18/P18</f>
        <v>0.82248877110258312</v>
      </c>
    </row>
    <row r="19" spans="1:17" s="24" customFormat="1" ht="16.2" thickBot="1" x14ac:dyDescent="0.35">
      <c r="A19" s="19">
        <v>10</v>
      </c>
      <c r="B19" s="20" t="s">
        <v>23</v>
      </c>
      <c r="C19" s="21"/>
      <c r="D19" s="21"/>
      <c r="E19" s="21"/>
      <c r="F19" s="21"/>
      <c r="G19" s="22"/>
      <c r="H19" s="238">
        <f>ROUND(H18,-3)</f>
        <v>3437375000</v>
      </c>
      <c r="I19" s="23" t="str">
        <f>I10</f>
        <v>/ Kontrak</v>
      </c>
      <c r="N19" s="389" t="s">
        <v>113</v>
      </c>
      <c r="O19" s="389"/>
      <c r="P19" s="302">
        <f>H15</f>
        <v>253879600</v>
      </c>
      <c r="Q19" s="300"/>
    </row>
    <row r="20" spans="1:17" x14ac:dyDescent="0.3">
      <c r="N20" s="392" t="s">
        <v>112</v>
      </c>
      <c r="O20" s="393"/>
      <c r="P20" s="319">
        <f>SUM(P18:P19)</f>
        <v>3449874600</v>
      </c>
      <c r="Q20" s="306"/>
    </row>
    <row r="21" spans="1:17" x14ac:dyDescent="0.3">
      <c r="A21" s="276"/>
      <c r="B21" s="277" t="s">
        <v>103</v>
      </c>
      <c r="C21" s="278"/>
      <c r="D21" s="278"/>
      <c r="E21" s="278"/>
      <c r="F21" s="278"/>
      <c r="G21" s="278"/>
      <c r="H21" s="278"/>
      <c r="I21" s="279"/>
      <c r="M21" s="307"/>
      <c r="N21" s="308"/>
      <c r="O21" s="307"/>
    </row>
    <row r="22" spans="1:17" ht="53.25" customHeight="1" x14ac:dyDescent="0.3">
      <c r="A22" s="280">
        <v>1</v>
      </c>
      <c r="B22" s="385" t="s">
        <v>104</v>
      </c>
      <c r="C22" s="390"/>
      <c r="D22" s="390"/>
      <c r="E22" s="390"/>
      <c r="F22" s="390"/>
      <c r="G22" s="390"/>
      <c r="H22" s="390"/>
      <c r="I22" s="391"/>
      <c r="M22" s="307"/>
      <c r="N22" s="307"/>
      <c r="O22" s="307"/>
    </row>
    <row r="23" spans="1:17" ht="64.5" customHeight="1" x14ac:dyDescent="0.3">
      <c r="A23" s="280">
        <v>2</v>
      </c>
      <c r="B23" s="385" t="s">
        <v>105</v>
      </c>
      <c r="C23" s="390"/>
      <c r="D23" s="390"/>
      <c r="E23" s="390"/>
      <c r="F23" s="390"/>
      <c r="G23" s="390"/>
      <c r="H23" s="390"/>
      <c r="I23" s="391"/>
      <c r="P23" s="301"/>
    </row>
    <row r="24" spans="1:17" ht="24" customHeight="1" x14ac:dyDescent="0.3">
      <c r="A24" s="281">
        <v>3</v>
      </c>
      <c r="B24" s="385" t="s">
        <v>106</v>
      </c>
      <c r="C24" s="385"/>
      <c r="D24" s="385"/>
      <c r="E24" s="385"/>
      <c r="F24" s="385"/>
      <c r="G24" s="385"/>
      <c r="H24" s="385"/>
      <c r="I24" s="386"/>
    </row>
    <row r="25" spans="1:17" ht="24" customHeight="1" x14ac:dyDescent="0.3">
      <c r="A25" s="281">
        <v>4</v>
      </c>
      <c r="B25" s="385" t="s">
        <v>139</v>
      </c>
      <c r="C25" s="385"/>
      <c r="D25" s="385"/>
      <c r="E25" s="385"/>
      <c r="F25" s="385"/>
      <c r="G25" s="385"/>
      <c r="H25" s="385"/>
      <c r="I25" s="386"/>
    </row>
    <row r="26" spans="1:17" ht="27" customHeight="1" thickBot="1" x14ac:dyDescent="0.35">
      <c r="A26" s="282">
        <v>5</v>
      </c>
      <c r="B26" s="383" t="s">
        <v>107</v>
      </c>
      <c r="C26" s="383"/>
      <c r="D26" s="383"/>
      <c r="E26" s="383"/>
      <c r="F26" s="383"/>
      <c r="G26" s="383"/>
      <c r="H26" s="383"/>
      <c r="I26" s="384"/>
    </row>
    <row r="27" spans="1:17" x14ac:dyDescent="0.3">
      <c r="A27" s="28"/>
      <c r="B27" s="387"/>
      <c r="C27" s="387"/>
      <c r="D27" s="387"/>
      <c r="E27" s="387"/>
      <c r="F27" s="387"/>
      <c r="G27" s="387"/>
      <c r="H27" s="387"/>
      <c r="I27" s="387"/>
    </row>
    <row r="28" spans="1:17" x14ac:dyDescent="0.3">
      <c r="A28" s="29"/>
      <c r="B28" s="388"/>
      <c r="C28" s="388"/>
      <c r="D28" s="388"/>
      <c r="E28" s="388"/>
      <c r="F28" s="388"/>
      <c r="G28" s="388"/>
      <c r="H28" s="388"/>
      <c r="I28" s="388"/>
    </row>
    <row r="29" spans="1:17" x14ac:dyDescent="0.3">
      <c r="A29" s="30"/>
      <c r="B29" s="388"/>
      <c r="C29" s="388"/>
      <c r="D29" s="388"/>
      <c r="E29" s="388"/>
      <c r="F29" s="388"/>
      <c r="G29" s="388"/>
      <c r="H29" s="388"/>
      <c r="I29" s="388"/>
    </row>
  </sheetData>
  <mergeCells count="29">
    <mergeCell ref="N19:O19"/>
    <mergeCell ref="B24:I24"/>
    <mergeCell ref="B22:I22"/>
    <mergeCell ref="N20:O20"/>
    <mergeCell ref="B23:I23"/>
    <mergeCell ref="B26:I26"/>
    <mergeCell ref="B25:I25"/>
    <mergeCell ref="B27:I27"/>
    <mergeCell ref="B28:I28"/>
    <mergeCell ref="B29:I29"/>
    <mergeCell ref="A4:C4"/>
    <mergeCell ref="F4:I4"/>
    <mergeCell ref="A5:C5"/>
    <mergeCell ref="F5:I5"/>
    <mergeCell ref="A6:C6"/>
    <mergeCell ref="F6:I6"/>
    <mergeCell ref="B8:G8"/>
    <mergeCell ref="B10:G10"/>
    <mergeCell ref="B11:G11"/>
    <mergeCell ref="B12:G12"/>
    <mergeCell ref="B18:G18"/>
    <mergeCell ref="B13:G13"/>
    <mergeCell ref="B16:G16"/>
    <mergeCell ref="A1:C1"/>
    <mergeCell ref="D1:I1"/>
    <mergeCell ref="A2:C2"/>
    <mergeCell ref="D2:I2"/>
    <mergeCell ref="A3:C3"/>
    <mergeCell ref="F3:I3"/>
  </mergeCells>
  <pageMargins left="0.7" right="0.7" top="0.75" bottom="0.75" header="0.3" footer="0.3"/>
  <pageSetup paperSize="9" scale="61" fitToHeight="0" orientation="landscape"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4D75E-DC53-4BFC-B0B5-FA5D66A94C35}">
  <sheetPr>
    <pageSetUpPr fitToPage="1"/>
  </sheetPr>
  <dimension ref="A1:T77"/>
  <sheetViews>
    <sheetView showGridLines="0" topLeftCell="B60" zoomScaleNormal="100" workbookViewId="0">
      <selection activeCell="T75" sqref="T75"/>
    </sheetView>
  </sheetViews>
  <sheetFormatPr defaultColWidth="9.109375" defaultRowHeight="13.8" x14ac:dyDescent="0.3"/>
  <cols>
    <col min="1" max="1" width="4.88671875" style="58" customWidth="1"/>
    <col min="2" max="2" width="31.109375" style="157" customWidth="1"/>
    <col min="3" max="3" width="18.6640625" style="58" customWidth="1"/>
    <col min="4" max="4" width="7.33203125" style="59" customWidth="1"/>
    <col min="5" max="5" width="20.33203125" style="58" customWidth="1"/>
    <col min="6" max="6" width="11" style="157" customWidth="1"/>
    <col min="7" max="7" width="17.109375" style="55" customWidth="1"/>
    <col min="8" max="8" width="23" style="53" customWidth="1"/>
    <col min="9" max="9" width="18" style="55" customWidth="1"/>
    <col min="10" max="10" width="2.109375" style="323" customWidth="1"/>
    <col min="11" max="11" width="9.88671875" style="323" bestFit="1" customWidth="1"/>
    <col min="12" max="14" width="2.109375" style="323" customWidth="1"/>
    <col min="15" max="15" width="2.109375" style="54" customWidth="1"/>
    <col min="16" max="17" width="2.109375" style="55" customWidth="1"/>
    <col min="18" max="18" width="4.44140625" style="55" customWidth="1"/>
    <col min="19" max="19" width="20.88671875" style="55" customWidth="1"/>
    <col min="20" max="20" width="17.33203125" style="157" customWidth="1"/>
    <col min="21" max="16384" width="9.109375" style="157"/>
  </cols>
  <sheetData>
    <row r="1" spans="1:20" s="37" customFormat="1" ht="23.4" x14ac:dyDescent="0.3">
      <c r="A1" s="31"/>
      <c r="B1" s="32"/>
      <c r="C1" s="459" t="str">
        <f>'1'!$D$1</f>
        <v>PENAWARAN REKANAN</v>
      </c>
      <c r="D1" s="460"/>
      <c r="E1" s="460"/>
      <c r="F1" s="460"/>
      <c r="G1" s="460"/>
      <c r="H1" s="460"/>
      <c r="I1" s="461"/>
      <c r="J1" s="320"/>
      <c r="K1" s="320"/>
      <c r="L1" s="320"/>
      <c r="M1" s="320"/>
      <c r="N1" s="320"/>
      <c r="O1" s="35"/>
      <c r="P1" s="36"/>
      <c r="Q1" s="36"/>
      <c r="R1" s="36"/>
      <c r="S1" s="36"/>
    </row>
    <row r="2" spans="1:20" s="37" customFormat="1" ht="18" x14ac:dyDescent="0.3">
      <c r="A2" s="38"/>
      <c r="B2" s="39"/>
      <c r="C2" s="355" t="s">
        <v>24</v>
      </c>
      <c r="D2" s="356"/>
      <c r="E2" s="356"/>
      <c r="F2" s="356"/>
      <c r="G2" s="356"/>
      <c r="H2" s="356"/>
      <c r="I2" s="462"/>
      <c r="J2" s="320"/>
      <c r="K2" s="320"/>
      <c r="L2" s="320"/>
      <c r="M2" s="320"/>
      <c r="N2" s="320"/>
      <c r="O2" s="35"/>
      <c r="P2" s="36"/>
      <c r="Q2" s="36"/>
      <c r="R2" s="36"/>
      <c r="S2" s="36"/>
    </row>
    <row r="3" spans="1:20" s="42" customFormat="1" ht="30.75" customHeight="1" x14ac:dyDescent="0.3">
      <c r="A3" s="476"/>
      <c r="B3" s="372"/>
      <c r="C3" s="40" t="s">
        <v>10</v>
      </c>
      <c r="D3" s="41" t="s">
        <v>0</v>
      </c>
      <c r="E3" s="477" t="str">
        <f>'1'!F3</f>
        <v>JASA PEKERJAAN PEMERIKSAAN BAWAH AIR STRUKTUR PILE AREA LOADING DOCK 2 DAN COOLING WATER INTAKE</v>
      </c>
      <c r="F3" s="477"/>
      <c r="G3" s="477"/>
      <c r="H3" s="477"/>
      <c r="I3" s="478"/>
      <c r="J3" s="320"/>
      <c r="K3" s="320"/>
      <c r="L3" s="320"/>
      <c r="M3" s="320"/>
      <c r="N3" s="320"/>
      <c r="O3" s="34"/>
      <c r="P3" s="33"/>
      <c r="Q3" s="33"/>
      <c r="R3" s="33"/>
      <c r="S3" s="33"/>
    </row>
    <row r="4" spans="1:20" s="42" customFormat="1" ht="15.6" x14ac:dyDescent="0.3">
      <c r="A4" s="43"/>
      <c r="B4" s="44"/>
      <c r="C4" s="40" t="s">
        <v>1</v>
      </c>
      <c r="D4" s="41" t="s">
        <v>0</v>
      </c>
      <c r="E4" s="479" t="str">
        <f>'1'!F4</f>
        <v>CA-25021</v>
      </c>
      <c r="F4" s="479"/>
      <c r="G4" s="479"/>
      <c r="H4" s="479"/>
      <c r="I4" s="480"/>
      <c r="J4" s="320"/>
      <c r="K4" s="320"/>
      <c r="L4" s="320"/>
      <c r="M4" s="320"/>
      <c r="N4" s="320"/>
      <c r="O4" s="34"/>
      <c r="P4" s="33"/>
      <c r="Q4" s="33"/>
      <c r="R4" s="33"/>
      <c r="S4" s="33"/>
    </row>
    <row r="5" spans="1:20" s="42" customFormat="1" ht="21" x14ac:dyDescent="0.3">
      <c r="A5" s="481"/>
      <c r="B5" s="377"/>
      <c r="C5" s="40" t="s">
        <v>12</v>
      </c>
      <c r="D5" s="41" t="s">
        <v>0</v>
      </c>
      <c r="E5" s="479" t="str">
        <f>'1'!F5</f>
        <v>LUMPSUM</v>
      </c>
      <c r="F5" s="479"/>
      <c r="G5" s="479"/>
      <c r="H5" s="479"/>
      <c r="I5" s="480"/>
      <c r="J5" s="320"/>
      <c r="K5" s="320"/>
      <c r="L5" s="320"/>
      <c r="M5" s="320"/>
      <c r="N5" s="320"/>
      <c r="O5" s="34"/>
      <c r="P5" s="33"/>
      <c r="Q5" s="33"/>
      <c r="R5" s="33"/>
      <c r="S5" s="33"/>
    </row>
    <row r="6" spans="1:20" s="42" customFormat="1" ht="15.6" x14ac:dyDescent="0.3">
      <c r="A6" s="45"/>
      <c r="B6" s="46"/>
      <c r="C6" s="40" t="s">
        <v>2</v>
      </c>
      <c r="D6" s="41" t="s">
        <v>0</v>
      </c>
      <c r="E6" s="465">
        <f>'1'!F6</f>
        <v>9</v>
      </c>
      <c r="F6" s="465"/>
      <c r="G6" s="465"/>
      <c r="H6" s="465"/>
      <c r="I6" s="466"/>
      <c r="J6" s="320"/>
      <c r="K6" s="320"/>
      <c r="L6" s="320"/>
      <c r="M6" s="320"/>
      <c r="N6" s="320"/>
      <c r="O6" s="34"/>
      <c r="P6" s="33"/>
      <c r="Q6" s="33"/>
      <c r="R6" s="33"/>
      <c r="S6" s="33"/>
    </row>
    <row r="7" spans="1:20" s="37" customFormat="1" ht="18.600000000000001" thickBot="1" x14ac:dyDescent="0.35">
      <c r="A7" s="47"/>
      <c r="B7" s="48"/>
      <c r="C7" s="48"/>
      <c r="D7" s="49"/>
      <c r="E7" s="50"/>
      <c r="F7" s="48"/>
      <c r="G7" s="51"/>
      <c r="H7" s="51"/>
      <c r="I7" s="52" t="s">
        <v>87</v>
      </c>
      <c r="J7" s="320"/>
      <c r="K7" s="320"/>
      <c r="L7" s="320"/>
      <c r="M7" s="320"/>
      <c r="N7" s="320"/>
      <c r="O7" s="35"/>
      <c r="P7" s="36"/>
      <c r="Q7" s="36"/>
      <c r="R7" s="36"/>
      <c r="S7" s="36"/>
    </row>
    <row r="8" spans="1:20" s="164" customFormat="1" ht="15.6" x14ac:dyDescent="0.3">
      <c r="A8" s="158" t="s">
        <v>68</v>
      </c>
      <c r="B8" s="159" t="s">
        <v>69</v>
      </c>
      <c r="C8" s="160"/>
      <c r="D8" s="161"/>
      <c r="E8" s="161"/>
      <c r="F8" s="162"/>
      <c r="G8" s="162"/>
      <c r="H8" s="160"/>
      <c r="I8" s="163"/>
      <c r="J8" s="321"/>
      <c r="K8" s="321"/>
      <c r="L8" s="321"/>
      <c r="M8" s="321"/>
      <c r="N8" s="321"/>
    </row>
    <row r="9" spans="1:20" s="171" customFormat="1" ht="13.2" x14ac:dyDescent="0.2">
      <c r="A9" s="165"/>
      <c r="B9" s="166"/>
      <c r="C9" s="167"/>
      <c r="D9" s="168"/>
      <c r="E9" s="168"/>
      <c r="F9" s="167"/>
      <c r="G9" s="169"/>
      <c r="H9" s="169"/>
      <c r="I9" s="170"/>
      <c r="J9" s="322"/>
      <c r="K9" s="322"/>
      <c r="L9" s="322"/>
      <c r="M9" s="322"/>
      <c r="N9" s="322"/>
    </row>
    <row r="10" spans="1:20" s="171" customFormat="1" thickBot="1" x14ac:dyDescent="0.25">
      <c r="A10" s="172" t="s">
        <v>70</v>
      </c>
      <c r="B10" s="245" t="s">
        <v>95</v>
      </c>
      <c r="C10" s="167"/>
      <c r="D10" s="168"/>
      <c r="E10" s="168"/>
      <c r="F10" s="167"/>
      <c r="G10" s="169"/>
      <c r="H10" s="169"/>
      <c r="I10" s="170"/>
      <c r="J10" s="322"/>
      <c r="K10" s="322"/>
      <c r="L10" s="322"/>
      <c r="M10" s="322"/>
      <c r="N10" s="322"/>
    </row>
    <row r="11" spans="1:20" s="175" customFormat="1" ht="12.75" customHeight="1" x14ac:dyDescent="0.2">
      <c r="A11" s="471" t="s">
        <v>25</v>
      </c>
      <c r="B11" s="472" t="s">
        <v>71</v>
      </c>
      <c r="C11" s="473"/>
      <c r="D11" s="472" t="s">
        <v>96</v>
      </c>
      <c r="E11" s="473"/>
      <c r="F11" s="467" t="s">
        <v>97</v>
      </c>
      <c r="G11" s="469" t="s">
        <v>98</v>
      </c>
      <c r="H11" s="463" t="s">
        <v>73</v>
      </c>
      <c r="I11" s="464" t="s">
        <v>16</v>
      </c>
      <c r="J11" s="183"/>
      <c r="K11" s="183"/>
      <c r="L11" s="183"/>
      <c r="M11" s="183"/>
      <c r="N11" s="183"/>
      <c r="S11" s="411" t="s">
        <v>114</v>
      </c>
      <c r="T11" s="411" t="s">
        <v>115</v>
      </c>
    </row>
    <row r="12" spans="1:20" s="175" customFormat="1" ht="12" customHeight="1" x14ac:dyDescent="0.2">
      <c r="A12" s="441"/>
      <c r="B12" s="403"/>
      <c r="C12" s="404"/>
      <c r="D12" s="403"/>
      <c r="E12" s="404"/>
      <c r="F12" s="468"/>
      <c r="G12" s="470"/>
      <c r="H12" s="408"/>
      <c r="I12" s="432"/>
      <c r="J12" s="183"/>
      <c r="K12" s="183"/>
      <c r="L12" s="183"/>
      <c r="M12" s="183"/>
      <c r="N12" s="183"/>
      <c r="S12" s="412"/>
      <c r="T12" s="412"/>
    </row>
    <row r="13" spans="1:20" s="175" customFormat="1" ht="11.25" customHeight="1" thickBot="1" x14ac:dyDescent="0.25">
      <c r="A13" s="442"/>
      <c r="B13" s="176" t="s">
        <v>74</v>
      </c>
      <c r="C13" s="177"/>
      <c r="D13" s="434" t="s">
        <v>75</v>
      </c>
      <c r="E13" s="435"/>
      <c r="F13" s="178" t="s">
        <v>76</v>
      </c>
      <c r="G13" s="179" t="s">
        <v>77</v>
      </c>
      <c r="H13" s="180" t="s">
        <v>78</v>
      </c>
      <c r="I13" s="433"/>
      <c r="J13" s="183"/>
      <c r="K13" s="183"/>
      <c r="L13" s="183"/>
      <c r="M13" s="183"/>
      <c r="N13" s="183"/>
      <c r="S13" s="412"/>
      <c r="T13" s="412"/>
    </row>
    <row r="14" spans="1:20" s="175" customFormat="1" ht="12.75" customHeight="1" thickTop="1" x14ac:dyDescent="0.2">
      <c r="A14" s="309">
        <v>1</v>
      </c>
      <c r="B14" s="474" t="s">
        <v>140</v>
      </c>
      <c r="C14" s="475"/>
      <c r="D14" s="416">
        <v>1</v>
      </c>
      <c r="E14" s="417"/>
      <c r="F14" s="310">
        <v>8</v>
      </c>
      <c r="G14" s="272">
        <v>20000000</v>
      </c>
      <c r="H14" s="311">
        <f>D14*F14*G14</f>
        <v>160000000</v>
      </c>
      <c r="I14" s="182" t="s">
        <v>79</v>
      </c>
      <c r="J14" s="183"/>
      <c r="K14" s="183"/>
      <c r="L14" s="183"/>
      <c r="M14" s="183"/>
      <c r="N14" s="183"/>
      <c r="O14" s="183"/>
      <c r="P14" s="244"/>
      <c r="S14" s="318">
        <f>H14</f>
        <v>160000000</v>
      </c>
      <c r="T14" s="284"/>
    </row>
    <row r="15" spans="1:20" s="175" customFormat="1" ht="12.75" customHeight="1" x14ac:dyDescent="0.2">
      <c r="A15" s="312">
        <v>2</v>
      </c>
      <c r="B15" s="414" t="s">
        <v>141</v>
      </c>
      <c r="C15" s="415"/>
      <c r="D15" s="416">
        <v>1</v>
      </c>
      <c r="E15" s="417"/>
      <c r="F15" s="313">
        <v>8</v>
      </c>
      <c r="G15" s="272">
        <v>20000000</v>
      </c>
      <c r="H15" s="273">
        <f t="shared" ref="H15" si="0">D15*F15*G15</f>
        <v>160000000</v>
      </c>
      <c r="I15" s="186" t="s">
        <v>79</v>
      </c>
      <c r="J15" s="183"/>
      <c r="K15" s="183"/>
      <c r="L15" s="183"/>
      <c r="M15" s="183"/>
      <c r="N15" s="183"/>
      <c r="O15" s="183"/>
      <c r="P15" s="244"/>
      <c r="S15" s="283">
        <f t="shared" ref="S15:S20" si="1">H15</f>
        <v>160000000</v>
      </c>
      <c r="T15" s="284"/>
    </row>
    <row r="16" spans="1:20" s="175" customFormat="1" ht="12.75" customHeight="1" x14ac:dyDescent="0.2">
      <c r="A16" s="312">
        <v>3</v>
      </c>
      <c r="B16" s="414" t="s">
        <v>142</v>
      </c>
      <c r="C16" s="415"/>
      <c r="D16" s="416">
        <v>1</v>
      </c>
      <c r="E16" s="417"/>
      <c r="F16" s="313">
        <v>7</v>
      </c>
      <c r="G16" s="272">
        <v>63815000</v>
      </c>
      <c r="H16" s="273">
        <f t="shared" ref="H16" si="2">D16*F16*G16</f>
        <v>446705000</v>
      </c>
      <c r="I16" s="186" t="s">
        <v>79</v>
      </c>
      <c r="J16" s="183"/>
      <c r="K16" s="183"/>
      <c r="L16" s="183"/>
      <c r="M16" s="183"/>
      <c r="N16" s="183"/>
      <c r="O16" s="183"/>
      <c r="P16" s="244"/>
      <c r="S16" s="285">
        <f t="shared" ref="S16" si="3">H16</f>
        <v>446705000</v>
      </c>
      <c r="T16" s="284"/>
    </row>
    <row r="17" spans="1:20" s="175" customFormat="1" ht="12.75" customHeight="1" x14ac:dyDescent="0.2">
      <c r="A17" s="312">
        <v>4</v>
      </c>
      <c r="B17" s="414" t="s">
        <v>143</v>
      </c>
      <c r="C17" s="415"/>
      <c r="D17" s="416">
        <v>1</v>
      </c>
      <c r="E17" s="417"/>
      <c r="F17" s="313">
        <v>7</v>
      </c>
      <c r="G17" s="272">
        <v>44400000</v>
      </c>
      <c r="H17" s="273">
        <f t="shared" ref="H17" si="4">D17*F17*G17</f>
        <v>310800000</v>
      </c>
      <c r="I17" s="186" t="s">
        <v>79</v>
      </c>
      <c r="J17" s="183"/>
      <c r="K17" s="183"/>
      <c r="L17" s="183"/>
      <c r="M17" s="183"/>
      <c r="N17" s="183"/>
      <c r="O17" s="183"/>
      <c r="P17" s="244"/>
      <c r="S17" s="285">
        <f t="shared" ref="S17" si="5">H17</f>
        <v>310800000</v>
      </c>
      <c r="T17" s="284"/>
    </row>
    <row r="18" spans="1:20" s="175" customFormat="1" ht="12.75" customHeight="1" x14ac:dyDescent="0.2">
      <c r="A18" s="312">
        <v>5</v>
      </c>
      <c r="B18" s="414" t="s">
        <v>144</v>
      </c>
      <c r="C18" s="415"/>
      <c r="D18" s="416">
        <v>2</v>
      </c>
      <c r="E18" s="417"/>
      <c r="F18" s="313">
        <v>7</v>
      </c>
      <c r="G18" s="272">
        <v>45800000</v>
      </c>
      <c r="H18" s="273">
        <f t="shared" ref="H18:H19" si="6">D18*F18*G18</f>
        <v>641200000</v>
      </c>
      <c r="I18" s="186" t="s">
        <v>79</v>
      </c>
      <c r="J18" s="183"/>
      <c r="K18" s="183"/>
      <c r="L18" s="183"/>
      <c r="M18" s="183"/>
      <c r="N18" s="183"/>
      <c r="O18" s="183"/>
      <c r="P18" s="244"/>
      <c r="S18" s="285">
        <f t="shared" ref="S18:S19" si="7">H18</f>
        <v>641200000</v>
      </c>
      <c r="T18" s="284"/>
    </row>
    <row r="19" spans="1:20" s="175" customFormat="1" ht="12.75" customHeight="1" x14ac:dyDescent="0.2">
      <c r="A19" s="312">
        <v>6</v>
      </c>
      <c r="B19" s="344" t="s">
        <v>146</v>
      </c>
      <c r="C19" s="345"/>
      <c r="D19" s="416">
        <v>2</v>
      </c>
      <c r="E19" s="417"/>
      <c r="F19" s="313">
        <v>7</v>
      </c>
      <c r="G19" s="272">
        <v>20810000</v>
      </c>
      <c r="H19" s="273">
        <f t="shared" si="6"/>
        <v>291340000</v>
      </c>
      <c r="I19" s="186" t="s">
        <v>79</v>
      </c>
      <c r="J19" s="183"/>
      <c r="K19" s="183"/>
      <c r="L19" s="183"/>
      <c r="M19" s="183"/>
      <c r="N19" s="183"/>
      <c r="O19" s="183"/>
      <c r="P19" s="244"/>
      <c r="S19" s="285">
        <f t="shared" si="7"/>
        <v>291340000</v>
      </c>
      <c r="T19" s="284"/>
    </row>
    <row r="20" spans="1:20" s="175" customFormat="1" ht="12.75" customHeight="1" x14ac:dyDescent="0.2">
      <c r="A20" s="312">
        <v>7</v>
      </c>
      <c r="B20" s="414" t="s">
        <v>145</v>
      </c>
      <c r="C20" s="415"/>
      <c r="D20" s="416">
        <v>1</v>
      </c>
      <c r="E20" s="417"/>
      <c r="F20" s="313">
        <v>7</v>
      </c>
      <c r="G20" s="272">
        <v>6000000</v>
      </c>
      <c r="H20" s="273">
        <f t="shared" ref="H20" si="8">D20*F20*G20</f>
        <v>42000000</v>
      </c>
      <c r="I20" s="186" t="str">
        <f>I18</f>
        <v>/ KONTRAK</v>
      </c>
      <c r="J20" s="183"/>
      <c r="K20" s="183"/>
      <c r="L20" s="183"/>
      <c r="M20" s="183"/>
      <c r="N20" s="183"/>
      <c r="O20" s="183"/>
      <c r="P20" s="244"/>
      <c r="S20" s="283">
        <f t="shared" si="1"/>
        <v>42000000</v>
      </c>
      <c r="T20" s="284"/>
    </row>
    <row r="21" spans="1:20" s="175" customFormat="1" ht="12" customHeight="1" x14ac:dyDescent="0.2">
      <c r="A21" s="187"/>
      <c r="B21" s="188"/>
      <c r="C21" s="189"/>
      <c r="D21" s="190"/>
      <c r="E21" s="191"/>
      <c r="F21" s="192"/>
      <c r="G21" s="193"/>
      <c r="H21" s="194"/>
      <c r="I21" s="195"/>
      <c r="J21" s="183"/>
      <c r="K21" s="183"/>
      <c r="L21" s="183"/>
      <c r="M21" s="183"/>
      <c r="N21" s="183"/>
      <c r="S21" s="284"/>
      <c r="T21" s="284"/>
    </row>
    <row r="22" spans="1:20" s="175" customFormat="1" ht="16.5" customHeight="1" x14ac:dyDescent="0.2">
      <c r="A22" s="196"/>
      <c r="B22" s="197"/>
      <c r="C22" s="198" t="s">
        <v>80</v>
      </c>
      <c r="D22" s="482">
        <f>SUM(D14:D20)</f>
        <v>9</v>
      </c>
      <c r="E22" s="483"/>
      <c r="F22" s="199"/>
      <c r="G22" s="200" t="s">
        <v>81</v>
      </c>
      <c r="H22" s="201">
        <f>SUBTOTAL(9,H14:H20)</f>
        <v>2052045000</v>
      </c>
      <c r="I22" s="202" t="str">
        <f>I14</f>
        <v>/ KONTRAK</v>
      </c>
      <c r="J22" s="183"/>
      <c r="K22" s="183"/>
      <c r="L22" s="183"/>
      <c r="M22" s="183"/>
      <c r="N22" s="183"/>
      <c r="S22" s="283">
        <f>SUM(S14:S21)</f>
        <v>2052045000</v>
      </c>
      <c r="T22" s="283">
        <f>SUM(T14:T21)</f>
        <v>0</v>
      </c>
    </row>
    <row r="23" spans="1:20" s="171" customFormat="1" ht="8.25" customHeight="1" x14ac:dyDescent="0.2">
      <c r="A23" s="165"/>
      <c r="B23" s="166"/>
      <c r="C23" s="167"/>
      <c r="D23" s="168"/>
      <c r="E23" s="168"/>
      <c r="F23" s="167"/>
      <c r="G23" s="169"/>
      <c r="H23" s="203"/>
      <c r="I23" s="204"/>
      <c r="J23" s="322"/>
      <c r="K23" s="322"/>
      <c r="L23" s="322"/>
      <c r="M23" s="322"/>
      <c r="N23" s="322"/>
      <c r="S23" s="290"/>
      <c r="T23" s="290"/>
    </row>
    <row r="24" spans="1:20" s="171" customFormat="1" ht="13.2" x14ac:dyDescent="0.2">
      <c r="A24" s="172">
        <v>2</v>
      </c>
      <c r="B24" s="173" t="s">
        <v>117</v>
      </c>
      <c r="C24" s="167"/>
      <c r="D24" s="168"/>
      <c r="E24" s="168"/>
      <c r="F24" s="167"/>
      <c r="G24" s="169"/>
      <c r="H24" s="169"/>
      <c r="I24" s="170"/>
      <c r="J24" s="322"/>
      <c r="K24" s="322"/>
      <c r="L24" s="322"/>
      <c r="M24" s="322"/>
      <c r="N24" s="322"/>
      <c r="S24" s="290"/>
      <c r="T24" s="290"/>
    </row>
    <row r="25" spans="1:20" s="175" customFormat="1" ht="12.75" customHeight="1" x14ac:dyDescent="0.2">
      <c r="A25" s="440" t="s">
        <v>25</v>
      </c>
      <c r="B25" s="443" t="s">
        <v>82</v>
      </c>
      <c r="C25" s="444"/>
      <c r="D25" s="401" t="s">
        <v>26</v>
      </c>
      <c r="E25" s="402"/>
      <c r="F25" s="405" t="s">
        <v>72</v>
      </c>
      <c r="G25" s="407" t="s">
        <v>4</v>
      </c>
      <c r="H25" s="407" t="s">
        <v>83</v>
      </c>
      <c r="I25" s="431" t="s">
        <v>16</v>
      </c>
      <c r="J25" s="183"/>
      <c r="K25" s="183"/>
      <c r="L25" s="183"/>
      <c r="M25" s="183"/>
      <c r="N25" s="183"/>
      <c r="S25" s="290"/>
      <c r="T25" s="290"/>
    </row>
    <row r="26" spans="1:20" s="175" customFormat="1" ht="12.75" customHeight="1" x14ac:dyDescent="0.2">
      <c r="A26" s="441"/>
      <c r="B26" s="445"/>
      <c r="C26" s="446"/>
      <c r="D26" s="403"/>
      <c r="E26" s="404"/>
      <c r="F26" s="406"/>
      <c r="G26" s="408"/>
      <c r="H26" s="408"/>
      <c r="I26" s="432"/>
      <c r="J26" s="183"/>
      <c r="K26" s="183"/>
      <c r="L26" s="183"/>
      <c r="M26" s="183"/>
      <c r="N26" s="183"/>
      <c r="S26" s="290"/>
      <c r="T26" s="290"/>
    </row>
    <row r="27" spans="1:20" s="175" customFormat="1" ht="12" customHeight="1" thickBot="1" x14ac:dyDescent="0.25">
      <c r="A27" s="442"/>
      <c r="B27" s="176" t="s">
        <v>74</v>
      </c>
      <c r="C27" s="177"/>
      <c r="D27" s="434" t="s">
        <v>75</v>
      </c>
      <c r="E27" s="435"/>
      <c r="F27" s="178" t="s">
        <v>76</v>
      </c>
      <c r="G27" s="179" t="s">
        <v>77</v>
      </c>
      <c r="H27" s="180" t="s">
        <v>78</v>
      </c>
      <c r="I27" s="433"/>
      <c r="J27" s="183"/>
      <c r="K27" s="183"/>
      <c r="L27" s="183"/>
      <c r="M27" s="183"/>
      <c r="N27" s="183"/>
      <c r="S27" s="290"/>
      <c r="T27" s="290"/>
    </row>
    <row r="28" spans="1:20" s="175" customFormat="1" thickTop="1" x14ac:dyDescent="0.2">
      <c r="A28" s="205"/>
      <c r="B28" s="447"/>
      <c r="C28" s="448"/>
      <c r="D28" s="449"/>
      <c r="E28" s="450"/>
      <c r="F28" s="206"/>
      <c r="G28" s="181"/>
      <c r="H28" s="185"/>
      <c r="I28" s="207"/>
      <c r="J28" s="183"/>
      <c r="K28" s="183"/>
      <c r="L28" s="183"/>
      <c r="M28" s="183"/>
      <c r="N28" s="183"/>
      <c r="S28" s="290"/>
      <c r="T28" s="290"/>
    </row>
    <row r="29" spans="1:20" s="262" customFormat="1" ht="13.2" x14ac:dyDescent="0.2">
      <c r="A29" s="255">
        <v>1</v>
      </c>
      <c r="B29" s="256" t="s">
        <v>147</v>
      </c>
      <c r="C29" s="257"/>
      <c r="D29" s="409">
        <v>9</v>
      </c>
      <c r="E29" s="410"/>
      <c r="F29" s="258">
        <v>1</v>
      </c>
      <c r="G29" s="259">
        <v>3500000</v>
      </c>
      <c r="H29" s="260">
        <f>D29*F29*G29</f>
        <v>31500000</v>
      </c>
      <c r="I29" s="261" t="s">
        <v>84</v>
      </c>
      <c r="J29" s="183"/>
      <c r="K29" s="183"/>
      <c r="L29" s="183"/>
      <c r="M29" s="183"/>
      <c r="N29" s="183"/>
      <c r="O29" s="174"/>
      <c r="S29" s="283">
        <f>H29</f>
        <v>31500000</v>
      </c>
      <c r="T29" s="283"/>
    </row>
    <row r="30" spans="1:20" s="262" customFormat="1" ht="13.2" x14ac:dyDescent="0.2">
      <c r="A30" s="255">
        <v>2</v>
      </c>
      <c r="B30" s="256" t="s">
        <v>148</v>
      </c>
      <c r="C30" s="257"/>
      <c r="D30" s="424">
        <v>1</v>
      </c>
      <c r="E30" s="425"/>
      <c r="F30" s="258">
        <v>1</v>
      </c>
      <c r="G30" s="259">
        <v>20000000</v>
      </c>
      <c r="H30" s="260">
        <f>D30*F30*G30</f>
        <v>20000000</v>
      </c>
      <c r="I30" s="261" t="s">
        <v>84</v>
      </c>
      <c r="J30" s="183"/>
      <c r="K30" s="183"/>
      <c r="L30" s="183"/>
      <c r="M30" s="183"/>
      <c r="N30" s="183"/>
      <c r="O30" s="174"/>
      <c r="S30" s="283">
        <f t="shared" ref="S30:S32" si="9">H30</f>
        <v>20000000</v>
      </c>
      <c r="T30" s="283"/>
    </row>
    <row r="31" spans="1:20" s="262" customFormat="1" ht="13.2" x14ac:dyDescent="0.2">
      <c r="A31" s="255">
        <v>3</v>
      </c>
      <c r="B31" s="256"/>
      <c r="C31" s="257"/>
      <c r="D31" s="409"/>
      <c r="E31" s="410"/>
      <c r="F31" s="263"/>
      <c r="G31" s="259"/>
      <c r="H31" s="260">
        <f t="shared" ref="H31:H33" si="10">D31*F31*G31</f>
        <v>0</v>
      </c>
      <c r="I31" s="261" t="s">
        <v>84</v>
      </c>
      <c r="J31" s="183"/>
      <c r="K31" s="183"/>
      <c r="L31" s="183"/>
      <c r="M31" s="183"/>
      <c r="N31" s="183"/>
      <c r="O31" s="174"/>
      <c r="S31" s="283">
        <f t="shared" si="9"/>
        <v>0</v>
      </c>
      <c r="T31" s="283"/>
    </row>
    <row r="32" spans="1:20" s="262" customFormat="1" ht="12.75" customHeight="1" x14ac:dyDescent="0.2">
      <c r="A32" s="255">
        <v>4</v>
      </c>
      <c r="B32" s="256"/>
      <c r="C32" s="264"/>
      <c r="D32" s="409"/>
      <c r="E32" s="410"/>
      <c r="F32" s="265"/>
      <c r="G32" s="259"/>
      <c r="H32" s="260">
        <f t="shared" si="10"/>
        <v>0</v>
      </c>
      <c r="I32" s="261" t="str">
        <f>I31</f>
        <v>/KONTRAK</v>
      </c>
      <c r="J32" s="183"/>
      <c r="K32" s="183"/>
      <c r="L32" s="183"/>
      <c r="M32" s="183"/>
      <c r="N32" s="183"/>
      <c r="O32" s="174"/>
      <c r="S32" s="283">
        <f t="shared" si="9"/>
        <v>0</v>
      </c>
      <c r="T32" s="283"/>
    </row>
    <row r="33" spans="1:20" s="262" customFormat="1" ht="12.75" customHeight="1" x14ac:dyDescent="0.2">
      <c r="A33" s="255">
        <v>5</v>
      </c>
      <c r="B33" s="256"/>
      <c r="C33" s="264"/>
      <c r="D33" s="424"/>
      <c r="E33" s="425"/>
      <c r="F33" s="324"/>
      <c r="G33" s="259"/>
      <c r="H33" s="260">
        <f t="shared" si="10"/>
        <v>0</v>
      </c>
      <c r="I33" s="261" t="str">
        <f>I31</f>
        <v>/KONTRAK</v>
      </c>
      <c r="J33" s="183"/>
      <c r="K33" s="183"/>
      <c r="L33" s="183"/>
      <c r="M33" s="183"/>
      <c r="N33" s="183"/>
      <c r="O33" s="174"/>
      <c r="S33" s="283">
        <f t="shared" ref="S33" si="11">H33</f>
        <v>0</v>
      </c>
      <c r="T33" s="283"/>
    </row>
    <row r="34" spans="1:20" s="262" customFormat="1" ht="22.5" customHeight="1" x14ac:dyDescent="0.2">
      <c r="A34" s="255"/>
      <c r="B34" s="451"/>
      <c r="C34" s="452"/>
      <c r="D34" s="424"/>
      <c r="E34" s="425"/>
      <c r="F34" s="325"/>
      <c r="G34" s="259"/>
      <c r="H34" s="260"/>
      <c r="I34" s="261"/>
      <c r="J34" s="183"/>
      <c r="K34" s="183"/>
      <c r="L34" s="183"/>
      <c r="M34" s="183"/>
      <c r="N34" s="183"/>
      <c r="O34" s="174"/>
      <c r="S34" s="283"/>
      <c r="T34" s="283"/>
    </row>
    <row r="35" spans="1:20" s="175" customFormat="1" ht="13.2" x14ac:dyDescent="0.2">
      <c r="A35" s="252"/>
      <c r="B35" s="453"/>
      <c r="C35" s="454"/>
      <c r="D35" s="455"/>
      <c r="E35" s="456"/>
      <c r="F35" s="253"/>
      <c r="G35" s="184"/>
      <c r="H35" s="185"/>
      <c r="I35" s="254"/>
      <c r="J35" s="183"/>
      <c r="K35" s="183"/>
      <c r="L35" s="183"/>
      <c r="M35" s="183"/>
      <c r="N35" s="183"/>
      <c r="S35" s="284"/>
      <c r="T35" s="284"/>
    </row>
    <row r="36" spans="1:20" s="175" customFormat="1" ht="13.2" x14ac:dyDescent="0.2">
      <c r="A36" s="247"/>
      <c r="B36" s="457"/>
      <c r="C36" s="458"/>
      <c r="D36" s="436"/>
      <c r="E36" s="437"/>
      <c r="F36" s="248"/>
      <c r="G36" s="249"/>
      <c r="H36" s="250"/>
      <c r="I36" s="251"/>
      <c r="J36" s="183"/>
      <c r="K36" s="183"/>
      <c r="L36" s="183"/>
      <c r="M36" s="183"/>
      <c r="N36" s="183"/>
      <c r="S36" s="284"/>
      <c r="T36" s="284"/>
    </row>
    <row r="37" spans="1:20" s="175" customFormat="1" ht="12.75" customHeight="1" x14ac:dyDescent="0.2">
      <c r="A37" s="196"/>
      <c r="B37" s="413"/>
      <c r="C37" s="413"/>
      <c r="D37" s="208"/>
      <c r="E37" s="208"/>
      <c r="F37" s="208"/>
      <c r="G37" s="209"/>
      <c r="H37" s="210"/>
      <c r="I37" s="211"/>
      <c r="J37" s="183"/>
      <c r="K37" s="183"/>
      <c r="L37" s="183"/>
      <c r="M37" s="183"/>
      <c r="N37" s="183"/>
      <c r="S37" s="284"/>
      <c r="T37" s="284"/>
    </row>
    <row r="38" spans="1:20" s="175" customFormat="1" ht="19.5" customHeight="1" x14ac:dyDescent="0.2">
      <c r="A38" s="196"/>
      <c r="B38" s="212"/>
      <c r="C38" s="213"/>
      <c r="D38" s="214"/>
      <c r="E38" s="215"/>
      <c r="F38" s="216"/>
      <c r="G38" s="200" t="s">
        <v>85</v>
      </c>
      <c r="H38" s="201">
        <f>SUBTOTAL(9,H29:H36)</f>
        <v>51500000</v>
      </c>
      <c r="I38" s="202" t="str">
        <f>I30</f>
        <v>/KONTRAK</v>
      </c>
      <c r="J38" s="183"/>
      <c r="K38" s="183"/>
      <c r="L38" s="183"/>
      <c r="M38" s="183"/>
      <c r="N38" s="183"/>
      <c r="S38" s="283">
        <f>SUM(S29:S37)</f>
        <v>51500000</v>
      </c>
      <c r="T38" s="283">
        <f>SUM(T29:T37)</f>
        <v>0</v>
      </c>
    </row>
    <row r="39" spans="1:20" s="175" customFormat="1" ht="18" customHeight="1" x14ac:dyDescent="0.2">
      <c r="A39" s="217"/>
      <c r="B39" s="218" t="s">
        <v>86</v>
      </c>
      <c r="C39" s="219"/>
      <c r="D39" s="220"/>
      <c r="E39" s="221"/>
      <c r="F39" s="222"/>
      <c r="G39" s="223"/>
      <c r="H39" s="224">
        <f>SUBTOTAL(9,H14:H38)</f>
        <v>2103545000</v>
      </c>
      <c r="I39" s="225" t="str">
        <f>I29</f>
        <v>/KONTRAK</v>
      </c>
      <c r="J39" s="183"/>
      <c r="K39" s="183"/>
      <c r="L39" s="183"/>
      <c r="M39" s="183"/>
      <c r="N39" s="183"/>
      <c r="S39" s="285">
        <f>S22+S38</f>
        <v>2103545000</v>
      </c>
      <c r="T39" s="285">
        <f>T22+T38</f>
        <v>0</v>
      </c>
    </row>
    <row r="40" spans="1:20" s="175" customFormat="1" ht="12" x14ac:dyDescent="0.2">
      <c r="A40" s="226"/>
      <c r="B40" s="227"/>
      <c r="C40" s="228"/>
      <c r="D40" s="214"/>
      <c r="E40" s="229"/>
      <c r="F40" s="214"/>
      <c r="G40" s="230"/>
      <c r="H40" s="231"/>
      <c r="I40" s="232"/>
      <c r="J40" s="183"/>
      <c r="K40" s="183"/>
      <c r="L40" s="183"/>
      <c r="M40" s="183"/>
      <c r="N40" s="183"/>
      <c r="S40" s="286"/>
      <c r="T40" s="286"/>
    </row>
    <row r="41" spans="1:20" s="171" customFormat="1" thickBot="1" x14ac:dyDescent="0.25">
      <c r="A41" s="172">
        <v>3</v>
      </c>
      <c r="B41" s="430" t="s">
        <v>99</v>
      </c>
      <c r="C41" s="430"/>
      <c r="D41" s="430"/>
      <c r="E41" s="430"/>
      <c r="F41" s="430"/>
      <c r="G41" s="430"/>
      <c r="H41" s="430"/>
      <c r="I41" s="170"/>
      <c r="J41" s="322"/>
      <c r="K41" s="322"/>
      <c r="L41" s="322"/>
      <c r="M41" s="322"/>
      <c r="N41" s="322"/>
      <c r="S41" s="287"/>
      <c r="T41" s="287"/>
    </row>
    <row r="42" spans="1:20" s="175" customFormat="1" ht="12.75" customHeight="1" x14ac:dyDescent="0.2">
      <c r="A42" s="440" t="s">
        <v>25</v>
      </c>
      <c r="B42" s="443" t="s">
        <v>82</v>
      </c>
      <c r="C42" s="444"/>
      <c r="D42" s="401" t="s">
        <v>26</v>
      </c>
      <c r="E42" s="402"/>
      <c r="F42" s="405" t="s">
        <v>72</v>
      </c>
      <c r="G42" s="407" t="s">
        <v>4</v>
      </c>
      <c r="H42" s="407" t="s">
        <v>138</v>
      </c>
      <c r="I42" s="431" t="s">
        <v>16</v>
      </c>
      <c r="J42" s="183"/>
      <c r="K42" s="183"/>
      <c r="L42" s="183"/>
      <c r="M42" s="183"/>
      <c r="N42" s="183"/>
      <c r="S42" s="286"/>
      <c r="T42" s="286"/>
    </row>
    <row r="43" spans="1:20" s="175" customFormat="1" ht="12.75" customHeight="1" x14ac:dyDescent="0.2">
      <c r="A43" s="441"/>
      <c r="B43" s="445"/>
      <c r="C43" s="446"/>
      <c r="D43" s="403"/>
      <c r="E43" s="404"/>
      <c r="F43" s="406"/>
      <c r="G43" s="408"/>
      <c r="H43" s="408"/>
      <c r="I43" s="432"/>
      <c r="J43" s="183"/>
      <c r="K43" s="183"/>
      <c r="L43" s="183"/>
      <c r="M43" s="183"/>
      <c r="N43" s="183"/>
      <c r="S43" s="286"/>
      <c r="T43" s="286"/>
    </row>
    <row r="44" spans="1:20" s="175" customFormat="1" ht="12" customHeight="1" thickBot="1" x14ac:dyDescent="0.25">
      <c r="A44" s="442"/>
      <c r="B44" s="243" t="s">
        <v>74</v>
      </c>
      <c r="C44" s="177"/>
      <c r="D44" s="434" t="s">
        <v>75</v>
      </c>
      <c r="E44" s="435"/>
      <c r="F44" s="178" t="s">
        <v>76</v>
      </c>
      <c r="G44" s="179" t="s">
        <v>77</v>
      </c>
      <c r="H44" s="180" t="s">
        <v>78</v>
      </c>
      <c r="I44" s="433"/>
      <c r="J44" s="183"/>
      <c r="K44" s="183"/>
      <c r="L44" s="183"/>
      <c r="M44" s="183"/>
      <c r="N44" s="183"/>
      <c r="S44" s="286"/>
      <c r="T44" s="286"/>
    </row>
    <row r="45" spans="1:20" s="175" customFormat="1" thickTop="1" x14ac:dyDescent="0.2">
      <c r="A45" s="270">
        <v>1</v>
      </c>
      <c r="B45" s="418" t="s">
        <v>118</v>
      </c>
      <c r="C45" s="419"/>
      <c r="D45" s="420">
        <v>1</v>
      </c>
      <c r="E45" s="421"/>
      <c r="F45" s="271">
        <v>1</v>
      </c>
      <c r="G45" s="272">
        <v>95000000</v>
      </c>
      <c r="H45" s="273">
        <f>D45*G45*F45</f>
        <v>95000000</v>
      </c>
      <c r="I45" s="254" t="s">
        <v>84</v>
      </c>
      <c r="J45" s="183"/>
      <c r="K45" s="183"/>
      <c r="L45" s="183"/>
      <c r="M45" s="183"/>
      <c r="N45" s="183"/>
      <c r="S45" s="283">
        <f t="shared" ref="S45:S55" si="12">0.75*H45</f>
        <v>71250000</v>
      </c>
      <c r="T45" s="283">
        <f t="shared" ref="T45:T56" si="13">0.25*H45</f>
        <v>23750000</v>
      </c>
    </row>
    <row r="46" spans="1:20" s="175" customFormat="1" ht="13.2" x14ac:dyDescent="0.2">
      <c r="A46" s="270">
        <v>2</v>
      </c>
      <c r="B46" s="438" t="s">
        <v>119</v>
      </c>
      <c r="C46" s="439"/>
      <c r="D46" s="420">
        <v>9</v>
      </c>
      <c r="E46" s="421"/>
      <c r="F46" s="271">
        <v>1</v>
      </c>
      <c r="G46" s="272">
        <v>2800000</v>
      </c>
      <c r="H46" s="273">
        <f t="shared" ref="H46:H55" si="14">D46*G46*F46</f>
        <v>25200000</v>
      </c>
      <c r="I46" s="254" t="s">
        <v>84</v>
      </c>
      <c r="J46" s="183"/>
      <c r="K46" s="183"/>
      <c r="L46" s="183"/>
      <c r="M46" s="183"/>
      <c r="N46" s="183"/>
      <c r="S46" s="283">
        <f t="shared" si="12"/>
        <v>18900000</v>
      </c>
      <c r="T46" s="283">
        <f t="shared" si="13"/>
        <v>6300000</v>
      </c>
    </row>
    <row r="47" spans="1:20" s="175" customFormat="1" ht="11.4" x14ac:dyDescent="0.2">
      <c r="A47" s="270">
        <v>3</v>
      </c>
      <c r="B47" s="398" t="s">
        <v>127</v>
      </c>
      <c r="C47" s="398"/>
      <c r="D47" s="399">
        <v>1</v>
      </c>
      <c r="E47" s="400"/>
      <c r="F47" s="271">
        <v>5</v>
      </c>
      <c r="G47" s="272">
        <v>7200000</v>
      </c>
      <c r="H47" s="273">
        <f t="shared" si="14"/>
        <v>36000000</v>
      </c>
      <c r="I47" s="251" t="s">
        <v>84</v>
      </c>
      <c r="J47" s="183"/>
      <c r="K47" s="183"/>
      <c r="L47" s="183"/>
      <c r="M47" s="183"/>
      <c r="N47" s="183"/>
      <c r="S47" s="285">
        <f t="shared" ref="S47:S52" si="15">0.75*H47</f>
        <v>27000000</v>
      </c>
      <c r="T47" s="285">
        <f t="shared" ref="T47:T52" si="16">0.25*H47</f>
        <v>9000000</v>
      </c>
    </row>
    <row r="48" spans="1:20" s="175" customFormat="1" ht="11.4" x14ac:dyDescent="0.2">
      <c r="A48" s="270">
        <v>4</v>
      </c>
      <c r="B48" s="398" t="s">
        <v>128</v>
      </c>
      <c r="C48" s="398"/>
      <c r="D48" s="420">
        <v>1</v>
      </c>
      <c r="E48" s="421"/>
      <c r="F48" s="271">
        <v>5</v>
      </c>
      <c r="G48" s="272">
        <v>12500000</v>
      </c>
      <c r="H48" s="273">
        <f t="shared" si="14"/>
        <v>62500000</v>
      </c>
      <c r="I48" s="254" t="s">
        <v>84</v>
      </c>
      <c r="J48" s="183"/>
      <c r="K48" s="183"/>
      <c r="L48" s="183"/>
      <c r="M48" s="183"/>
      <c r="N48" s="183"/>
      <c r="S48" s="285">
        <f t="shared" si="15"/>
        <v>46875000</v>
      </c>
      <c r="T48" s="285">
        <f t="shared" si="16"/>
        <v>15625000</v>
      </c>
    </row>
    <row r="49" spans="1:20" s="175" customFormat="1" ht="11.4" x14ac:dyDescent="0.2">
      <c r="A49" s="270">
        <v>5</v>
      </c>
      <c r="B49" s="398" t="s">
        <v>129</v>
      </c>
      <c r="C49" s="398"/>
      <c r="D49" s="420">
        <v>1</v>
      </c>
      <c r="E49" s="421"/>
      <c r="F49" s="271">
        <v>5</v>
      </c>
      <c r="G49" s="272">
        <v>1440000</v>
      </c>
      <c r="H49" s="273">
        <f t="shared" si="14"/>
        <v>7200000</v>
      </c>
      <c r="I49" s="254" t="s">
        <v>84</v>
      </c>
      <c r="J49" s="183"/>
      <c r="K49" s="183"/>
      <c r="L49" s="183"/>
      <c r="M49" s="183"/>
      <c r="N49" s="183"/>
      <c r="S49" s="285">
        <f t="shared" ref="S49:S51" si="17">0.75*H49</f>
        <v>5400000</v>
      </c>
      <c r="T49" s="285">
        <f t="shared" ref="T49:T51" si="18">0.25*H49</f>
        <v>1800000</v>
      </c>
    </row>
    <row r="50" spans="1:20" s="175" customFormat="1" ht="11.4" x14ac:dyDescent="0.2">
      <c r="A50" s="270">
        <v>6</v>
      </c>
      <c r="B50" s="398" t="s">
        <v>130</v>
      </c>
      <c r="C50" s="398"/>
      <c r="D50" s="399">
        <v>1</v>
      </c>
      <c r="E50" s="400"/>
      <c r="F50" s="271">
        <v>5</v>
      </c>
      <c r="G50" s="272">
        <v>12500000</v>
      </c>
      <c r="H50" s="273">
        <f t="shared" si="14"/>
        <v>62500000</v>
      </c>
      <c r="I50" s="251" t="s">
        <v>84</v>
      </c>
      <c r="J50" s="183"/>
      <c r="K50" s="183"/>
      <c r="L50" s="183"/>
      <c r="M50" s="183"/>
      <c r="N50" s="183"/>
      <c r="S50" s="285">
        <f t="shared" si="17"/>
        <v>46875000</v>
      </c>
      <c r="T50" s="285">
        <f t="shared" si="18"/>
        <v>15625000</v>
      </c>
    </row>
    <row r="51" spans="1:20" s="175" customFormat="1" ht="11.4" x14ac:dyDescent="0.2">
      <c r="A51" s="270">
        <v>7</v>
      </c>
      <c r="B51" s="398" t="s">
        <v>131</v>
      </c>
      <c r="C51" s="398"/>
      <c r="D51" s="420">
        <v>1</v>
      </c>
      <c r="E51" s="421"/>
      <c r="F51" s="271">
        <v>5</v>
      </c>
      <c r="G51" s="272">
        <v>720000</v>
      </c>
      <c r="H51" s="273">
        <f t="shared" si="14"/>
        <v>3600000</v>
      </c>
      <c r="I51" s="254" t="s">
        <v>84</v>
      </c>
      <c r="J51" s="183"/>
      <c r="K51" s="183"/>
      <c r="L51" s="183"/>
      <c r="M51" s="183"/>
      <c r="N51" s="183"/>
      <c r="S51" s="285">
        <f t="shared" si="17"/>
        <v>2700000</v>
      </c>
      <c r="T51" s="285">
        <f t="shared" si="18"/>
        <v>900000</v>
      </c>
    </row>
    <row r="52" spans="1:20" s="175" customFormat="1" ht="11.4" x14ac:dyDescent="0.2">
      <c r="A52" s="270">
        <v>8</v>
      </c>
      <c r="B52" s="398" t="s">
        <v>132</v>
      </c>
      <c r="C52" s="398"/>
      <c r="D52" s="420">
        <v>2</v>
      </c>
      <c r="E52" s="421"/>
      <c r="F52" s="271">
        <v>5</v>
      </c>
      <c r="G52" s="272">
        <v>1500000</v>
      </c>
      <c r="H52" s="273">
        <f t="shared" si="14"/>
        <v>15000000</v>
      </c>
      <c r="I52" s="254" t="s">
        <v>84</v>
      </c>
      <c r="J52" s="183"/>
      <c r="K52" s="183"/>
      <c r="L52" s="183"/>
      <c r="M52" s="183"/>
      <c r="N52" s="183"/>
      <c r="S52" s="285">
        <f t="shared" si="15"/>
        <v>11250000</v>
      </c>
      <c r="T52" s="285">
        <f t="shared" si="16"/>
        <v>3750000</v>
      </c>
    </row>
    <row r="53" spans="1:20" s="175" customFormat="1" ht="11.4" x14ac:dyDescent="0.2">
      <c r="A53" s="270">
        <v>9</v>
      </c>
      <c r="B53" s="398" t="s">
        <v>133</v>
      </c>
      <c r="C53" s="398"/>
      <c r="D53" s="399">
        <v>1</v>
      </c>
      <c r="E53" s="400"/>
      <c r="F53" s="271">
        <v>5</v>
      </c>
      <c r="G53" s="272">
        <v>7500000</v>
      </c>
      <c r="H53" s="273">
        <f t="shared" si="14"/>
        <v>37500000</v>
      </c>
      <c r="I53" s="251" t="s">
        <v>84</v>
      </c>
      <c r="J53" s="183"/>
      <c r="K53" s="183"/>
      <c r="L53" s="183"/>
      <c r="M53" s="183"/>
      <c r="N53" s="183"/>
      <c r="S53" s="283">
        <f t="shared" si="12"/>
        <v>28125000</v>
      </c>
      <c r="T53" s="283">
        <f t="shared" si="13"/>
        <v>9375000</v>
      </c>
    </row>
    <row r="54" spans="1:20" s="175" customFormat="1" ht="11.4" x14ac:dyDescent="0.2">
      <c r="A54" s="270">
        <v>10</v>
      </c>
      <c r="B54" s="398" t="s">
        <v>134</v>
      </c>
      <c r="C54" s="398"/>
      <c r="D54" s="420">
        <v>1</v>
      </c>
      <c r="E54" s="421"/>
      <c r="F54" s="271">
        <v>5</v>
      </c>
      <c r="G54" s="272">
        <v>15000000</v>
      </c>
      <c r="H54" s="273">
        <f t="shared" si="14"/>
        <v>75000000</v>
      </c>
      <c r="I54" s="254" t="s">
        <v>84</v>
      </c>
      <c r="J54" s="183"/>
      <c r="K54" s="183"/>
      <c r="L54" s="183"/>
      <c r="M54" s="183"/>
      <c r="N54" s="183"/>
      <c r="S54" s="285">
        <f t="shared" ref="S54" si="19">0.75*H54</f>
        <v>56250000</v>
      </c>
      <c r="T54" s="285">
        <f t="shared" ref="T54" si="20">0.25*H54</f>
        <v>18750000</v>
      </c>
    </row>
    <row r="55" spans="1:20" s="175" customFormat="1" ht="11.4" x14ac:dyDescent="0.2">
      <c r="A55" s="270">
        <v>11</v>
      </c>
      <c r="B55" s="398" t="s">
        <v>155</v>
      </c>
      <c r="C55" s="398"/>
      <c r="D55" s="420">
        <v>1</v>
      </c>
      <c r="E55" s="421"/>
      <c r="F55" s="271">
        <v>5</v>
      </c>
      <c r="G55" s="272">
        <v>50000000</v>
      </c>
      <c r="H55" s="273">
        <f t="shared" si="14"/>
        <v>250000000</v>
      </c>
      <c r="I55" s="254" t="s">
        <v>84</v>
      </c>
      <c r="J55" s="183"/>
      <c r="K55" s="183"/>
      <c r="L55" s="183"/>
      <c r="M55" s="183"/>
      <c r="N55" s="183"/>
      <c r="S55" s="283">
        <f t="shared" si="12"/>
        <v>187500000</v>
      </c>
      <c r="T55" s="283">
        <f t="shared" si="13"/>
        <v>62500000</v>
      </c>
    </row>
    <row r="56" spans="1:20" s="175" customFormat="1" ht="11.4" x14ac:dyDescent="0.2">
      <c r="A56" s="247"/>
      <c r="B56" s="328"/>
      <c r="C56" s="329"/>
      <c r="D56" s="436"/>
      <c r="E56" s="437"/>
      <c r="F56" s="248"/>
      <c r="G56" s="249"/>
      <c r="H56" s="250">
        <f t="shared" ref="H56" si="21">D56*F56*G56</f>
        <v>0</v>
      </c>
      <c r="I56" s="251" t="s">
        <v>84</v>
      </c>
      <c r="J56" s="183"/>
      <c r="K56" s="183"/>
      <c r="L56" s="183"/>
      <c r="M56" s="183"/>
      <c r="N56" s="183"/>
      <c r="S56" s="284"/>
      <c r="T56" s="283">
        <f t="shared" si="13"/>
        <v>0</v>
      </c>
    </row>
    <row r="57" spans="1:20" s="175" customFormat="1" ht="12.75" customHeight="1" x14ac:dyDescent="0.2">
      <c r="A57" s="196"/>
      <c r="B57" s="428"/>
      <c r="C57" s="429"/>
      <c r="D57" s="208"/>
      <c r="E57" s="208"/>
      <c r="F57" s="208"/>
      <c r="G57" s="209"/>
      <c r="H57" s="210"/>
      <c r="I57" s="211"/>
      <c r="J57" s="183"/>
      <c r="K57" s="183"/>
      <c r="L57" s="183"/>
      <c r="M57" s="183"/>
      <c r="N57" s="183"/>
      <c r="S57" s="284"/>
      <c r="T57" s="283"/>
    </row>
    <row r="58" spans="1:20" s="175" customFormat="1" ht="19.5" customHeight="1" x14ac:dyDescent="0.2">
      <c r="A58" s="196"/>
      <c r="B58" s="212"/>
      <c r="C58" s="213"/>
      <c r="D58" s="214"/>
      <c r="E58" s="215"/>
      <c r="F58" s="216"/>
      <c r="G58" s="200" t="s">
        <v>85</v>
      </c>
      <c r="H58" s="201">
        <f>SUBTOTAL(9,H45:H56)</f>
        <v>669500000</v>
      </c>
      <c r="I58" s="202" t="str">
        <f>I56</f>
        <v>/KONTRAK</v>
      </c>
      <c r="J58" s="183"/>
      <c r="K58" s="183"/>
      <c r="L58" s="183"/>
      <c r="M58" s="183"/>
      <c r="N58" s="183"/>
      <c r="S58" s="284"/>
      <c r="T58" s="283"/>
    </row>
    <row r="59" spans="1:20" s="175" customFormat="1" ht="18" customHeight="1" x14ac:dyDescent="0.2">
      <c r="A59" s="217"/>
      <c r="B59" s="218" t="s">
        <v>101</v>
      </c>
      <c r="C59" s="219"/>
      <c r="D59" s="220"/>
      <c r="E59" s="221"/>
      <c r="F59" s="222"/>
      <c r="G59" s="223"/>
      <c r="H59" s="224">
        <f>SUBTOTAL(9,H42:H58)</f>
        <v>669500000</v>
      </c>
      <c r="I59" s="225" t="str">
        <f>I58</f>
        <v>/KONTRAK</v>
      </c>
      <c r="J59" s="183"/>
      <c r="K59" s="183"/>
      <c r="L59" s="183"/>
      <c r="M59" s="183"/>
      <c r="N59" s="183"/>
      <c r="S59" s="283">
        <f>SUM(S45:S58)</f>
        <v>502125000</v>
      </c>
      <c r="T59" s="283">
        <f>SUM(T45:T58)</f>
        <v>167375000</v>
      </c>
    </row>
    <row r="60" spans="1:20" x14ac:dyDescent="0.3">
      <c r="S60" s="288"/>
      <c r="T60" s="289"/>
    </row>
    <row r="61" spans="1:20" s="171" customFormat="1" thickBot="1" x14ac:dyDescent="0.25">
      <c r="A61" s="172">
        <v>4</v>
      </c>
      <c r="B61" s="430" t="s">
        <v>108</v>
      </c>
      <c r="C61" s="430"/>
      <c r="D61" s="430"/>
      <c r="E61" s="430"/>
      <c r="F61" s="430"/>
      <c r="G61" s="430"/>
      <c r="H61" s="430"/>
      <c r="I61" s="170"/>
      <c r="J61" s="322"/>
      <c r="K61" s="322"/>
      <c r="L61" s="322"/>
      <c r="M61" s="322"/>
      <c r="N61" s="322"/>
      <c r="S61" s="287"/>
      <c r="T61" s="287"/>
    </row>
    <row r="62" spans="1:20" s="175" customFormat="1" ht="12.75" customHeight="1" x14ac:dyDescent="0.2">
      <c r="A62" s="440" t="s">
        <v>25</v>
      </c>
      <c r="B62" s="443" t="s">
        <v>82</v>
      </c>
      <c r="C62" s="444"/>
      <c r="D62" s="401" t="s">
        <v>26</v>
      </c>
      <c r="E62" s="402"/>
      <c r="F62" s="405"/>
      <c r="G62" s="407" t="s">
        <v>4</v>
      </c>
      <c r="H62" s="407" t="s">
        <v>83</v>
      </c>
      <c r="I62" s="431" t="s">
        <v>16</v>
      </c>
      <c r="J62" s="183"/>
      <c r="K62" s="183"/>
      <c r="L62" s="183"/>
      <c r="M62" s="183"/>
      <c r="N62" s="183"/>
      <c r="S62" s="286"/>
      <c r="T62" s="286"/>
    </row>
    <row r="63" spans="1:20" s="175" customFormat="1" ht="12.75" customHeight="1" x14ac:dyDescent="0.2">
      <c r="A63" s="441"/>
      <c r="B63" s="445"/>
      <c r="C63" s="446"/>
      <c r="D63" s="403"/>
      <c r="E63" s="404"/>
      <c r="F63" s="406"/>
      <c r="G63" s="408"/>
      <c r="H63" s="408"/>
      <c r="I63" s="432"/>
      <c r="J63" s="183"/>
      <c r="K63" s="183"/>
      <c r="L63" s="183"/>
      <c r="M63" s="183"/>
      <c r="N63" s="183"/>
      <c r="S63" s="286"/>
      <c r="T63" s="286"/>
    </row>
    <row r="64" spans="1:20" s="175" customFormat="1" ht="12" customHeight="1" thickBot="1" x14ac:dyDescent="0.25">
      <c r="A64" s="442"/>
      <c r="B64" s="243" t="s">
        <v>74</v>
      </c>
      <c r="C64" s="177"/>
      <c r="D64" s="434" t="s">
        <v>75</v>
      </c>
      <c r="E64" s="435"/>
      <c r="F64" s="178"/>
      <c r="G64" s="179" t="s">
        <v>77</v>
      </c>
      <c r="H64" s="180" t="s">
        <v>78</v>
      </c>
      <c r="I64" s="433"/>
      <c r="J64" s="183"/>
      <c r="K64" s="183"/>
      <c r="L64" s="183"/>
      <c r="M64" s="183"/>
      <c r="N64" s="183"/>
      <c r="S64" s="286"/>
      <c r="T64" s="286"/>
    </row>
    <row r="65" spans="1:20" s="175" customFormat="1" thickTop="1" x14ac:dyDescent="0.2">
      <c r="A65" s="266">
        <v>1</v>
      </c>
      <c r="B65" s="394" t="s">
        <v>149</v>
      </c>
      <c r="C65" s="395"/>
      <c r="D65" s="396">
        <v>9</v>
      </c>
      <c r="E65" s="397"/>
      <c r="F65" s="267">
        <v>227</v>
      </c>
      <c r="G65" s="268">
        <v>100000</v>
      </c>
      <c r="H65" s="269">
        <f>D65*G65*F65</f>
        <v>204300000</v>
      </c>
      <c r="I65" s="246" t="s">
        <v>84</v>
      </c>
      <c r="J65" s="183"/>
      <c r="K65" s="183"/>
      <c r="L65" s="183"/>
      <c r="M65" s="183"/>
      <c r="N65" s="183"/>
      <c r="O65" s="244"/>
      <c r="S65" s="283"/>
      <c r="T65" s="283">
        <f>H65</f>
        <v>204300000</v>
      </c>
    </row>
    <row r="66" spans="1:20" s="175" customFormat="1" ht="27.75" customHeight="1" x14ac:dyDescent="0.2">
      <c r="A66" s="270">
        <v>2</v>
      </c>
      <c r="B66" s="426" t="s">
        <v>150</v>
      </c>
      <c r="C66" s="427"/>
      <c r="D66" s="420">
        <v>9</v>
      </c>
      <c r="E66" s="421"/>
      <c r="F66" s="271">
        <v>227</v>
      </c>
      <c r="G66" s="272">
        <v>50000</v>
      </c>
      <c r="H66" s="269">
        <f t="shared" ref="H66:H72" si="22">D66*G66*F66</f>
        <v>102150000</v>
      </c>
      <c r="I66" s="254" t="s">
        <v>84</v>
      </c>
      <c r="J66" s="183"/>
      <c r="K66" s="183"/>
      <c r="L66" s="183"/>
      <c r="M66" s="183"/>
      <c r="N66" s="183"/>
      <c r="O66" s="244"/>
      <c r="S66" s="283"/>
      <c r="T66" s="283">
        <f t="shared" ref="T66:T72" si="23">H66</f>
        <v>102150000</v>
      </c>
    </row>
    <row r="67" spans="1:20" s="175" customFormat="1" ht="13.2" x14ac:dyDescent="0.2">
      <c r="A67" s="270">
        <v>3</v>
      </c>
      <c r="B67" s="418" t="s">
        <v>151</v>
      </c>
      <c r="C67" s="419"/>
      <c r="D67" s="420">
        <v>1</v>
      </c>
      <c r="E67" s="421"/>
      <c r="F67" s="271">
        <v>1</v>
      </c>
      <c r="G67" s="272">
        <v>70000000</v>
      </c>
      <c r="H67" s="269">
        <f t="shared" si="22"/>
        <v>70000000</v>
      </c>
      <c r="I67" s="254" t="s">
        <v>84</v>
      </c>
      <c r="J67" s="183"/>
      <c r="K67" s="183"/>
      <c r="L67" s="183"/>
      <c r="M67" s="183"/>
      <c r="N67" s="183"/>
      <c r="O67" s="244"/>
      <c r="S67" s="283"/>
      <c r="T67" s="283">
        <f t="shared" si="23"/>
        <v>70000000</v>
      </c>
    </row>
    <row r="68" spans="1:20" s="175" customFormat="1" ht="13.2" x14ac:dyDescent="0.2">
      <c r="A68" s="270">
        <v>4</v>
      </c>
      <c r="B68" s="418" t="s">
        <v>152</v>
      </c>
      <c r="C68" s="419"/>
      <c r="D68" s="420">
        <v>1</v>
      </c>
      <c r="E68" s="421"/>
      <c r="F68" s="271">
        <v>1</v>
      </c>
      <c r="G68" s="272">
        <v>1000000</v>
      </c>
      <c r="H68" s="269">
        <f t="shared" si="22"/>
        <v>1000000</v>
      </c>
      <c r="I68" s="254" t="s">
        <v>84</v>
      </c>
      <c r="J68" s="183"/>
      <c r="K68" s="183"/>
      <c r="L68" s="183"/>
      <c r="M68" s="183"/>
      <c r="N68" s="183"/>
      <c r="O68" s="244"/>
      <c r="S68" s="283"/>
      <c r="T68" s="283">
        <f>H68</f>
        <v>1000000</v>
      </c>
    </row>
    <row r="69" spans="1:20" s="175" customFormat="1" ht="13.2" x14ac:dyDescent="0.2">
      <c r="A69" s="270">
        <v>5</v>
      </c>
      <c r="B69" s="418" t="s">
        <v>156</v>
      </c>
      <c r="C69" s="419"/>
      <c r="D69" s="420">
        <v>9</v>
      </c>
      <c r="E69" s="421"/>
      <c r="F69" s="271">
        <v>1</v>
      </c>
      <c r="G69" s="272">
        <v>2500000</v>
      </c>
      <c r="H69" s="269">
        <f t="shared" si="22"/>
        <v>22500000</v>
      </c>
      <c r="I69" s="254" t="s">
        <v>84</v>
      </c>
      <c r="J69" s="183"/>
      <c r="K69" s="183"/>
      <c r="L69" s="183"/>
      <c r="M69" s="183"/>
      <c r="N69" s="183"/>
      <c r="O69" s="244"/>
      <c r="S69" s="283">
        <f t="shared" ref="S69:S72" si="24">H69</f>
        <v>22500000</v>
      </c>
      <c r="T69" s="283">
        <f>H69</f>
        <v>22500000</v>
      </c>
    </row>
    <row r="70" spans="1:20" s="175" customFormat="1" ht="13.2" x14ac:dyDescent="0.2">
      <c r="A70" s="270">
        <v>6</v>
      </c>
      <c r="B70" s="418"/>
      <c r="C70" s="419"/>
      <c r="D70" s="420"/>
      <c r="E70" s="421"/>
      <c r="F70" s="271"/>
      <c r="G70" s="272"/>
      <c r="H70" s="269">
        <f t="shared" si="22"/>
        <v>0</v>
      </c>
      <c r="I70" s="254" t="s">
        <v>84</v>
      </c>
      <c r="J70" s="183"/>
      <c r="K70" s="183"/>
      <c r="L70" s="183"/>
      <c r="M70" s="183"/>
      <c r="N70" s="183"/>
      <c r="O70" s="244"/>
      <c r="S70" s="283">
        <f t="shared" si="24"/>
        <v>0</v>
      </c>
      <c r="T70" s="283">
        <f t="shared" si="23"/>
        <v>0</v>
      </c>
    </row>
    <row r="71" spans="1:20" s="175" customFormat="1" ht="13.2" x14ac:dyDescent="0.2">
      <c r="A71" s="270">
        <v>7</v>
      </c>
      <c r="B71" s="418"/>
      <c r="C71" s="419"/>
      <c r="D71" s="420"/>
      <c r="E71" s="421"/>
      <c r="F71" s="271"/>
      <c r="G71" s="272"/>
      <c r="H71" s="269">
        <f t="shared" si="22"/>
        <v>0</v>
      </c>
      <c r="I71" s="254" t="s">
        <v>84</v>
      </c>
      <c r="J71" s="183"/>
      <c r="K71" s="183"/>
      <c r="L71" s="183"/>
      <c r="M71" s="183"/>
      <c r="N71" s="183"/>
      <c r="S71" s="283">
        <f t="shared" si="24"/>
        <v>0</v>
      </c>
      <c r="T71" s="283">
        <f t="shared" si="23"/>
        <v>0</v>
      </c>
    </row>
    <row r="72" spans="1:20" s="175" customFormat="1" ht="13.2" x14ac:dyDescent="0.2">
      <c r="A72" s="270">
        <v>8</v>
      </c>
      <c r="B72" s="422"/>
      <c r="C72" s="423"/>
      <c r="D72" s="399"/>
      <c r="E72" s="400"/>
      <c r="F72" s="274"/>
      <c r="G72" s="275"/>
      <c r="H72" s="269">
        <f t="shared" si="22"/>
        <v>0</v>
      </c>
      <c r="I72" s="251" t="s">
        <v>84</v>
      </c>
      <c r="J72" s="183"/>
      <c r="K72" s="183"/>
      <c r="L72" s="183"/>
      <c r="M72" s="183"/>
      <c r="N72" s="183"/>
      <c r="S72" s="283">
        <f t="shared" si="24"/>
        <v>0</v>
      </c>
      <c r="T72" s="283">
        <f t="shared" si="23"/>
        <v>0</v>
      </c>
    </row>
    <row r="73" spans="1:20" s="175" customFormat="1" ht="12.75" customHeight="1" x14ac:dyDescent="0.2">
      <c r="A73" s="196"/>
      <c r="B73" s="413"/>
      <c r="C73" s="413"/>
      <c r="D73" s="208"/>
      <c r="E73" s="208"/>
      <c r="F73" s="208"/>
      <c r="G73" s="209"/>
      <c r="H73" s="210"/>
      <c r="I73" s="211"/>
      <c r="J73" s="183"/>
      <c r="K73" s="183"/>
      <c r="L73" s="183"/>
      <c r="M73" s="183"/>
      <c r="N73" s="183"/>
      <c r="S73" s="284"/>
      <c r="T73" s="284"/>
    </row>
    <row r="74" spans="1:20" s="175" customFormat="1" ht="19.5" customHeight="1" x14ac:dyDescent="0.2">
      <c r="A74" s="196"/>
      <c r="B74" s="212"/>
      <c r="C74" s="213"/>
      <c r="D74" s="214"/>
      <c r="E74" s="215"/>
      <c r="F74" s="216"/>
      <c r="G74" s="200" t="s">
        <v>85</v>
      </c>
      <c r="H74" s="201">
        <f>SUBTOTAL(9,H65:H72)</f>
        <v>399950000</v>
      </c>
      <c r="I74" s="202" t="str">
        <f>I72</f>
        <v>/KONTRAK</v>
      </c>
      <c r="J74" s="183"/>
      <c r="K74" s="183"/>
      <c r="L74" s="183"/>
      <c r="M74" s="183"/>
      <c r="N74" s="183"/>
      <c r="S74" s="284"/>
      <c r="T74" s="284"/>
    </row>
    <row r="75" spans="1:20" s="175" customFormat="1" ht="18" customHeight="1" x14ac:dyDescent="0.2">
      <c r="A75" s="217"/>
      <c r="B75" s="218" t="s">
        <v>102</v>
      </c>
      <c r="C75" s="219"/>
      <c r="D75" s="220"/>
      <c r="E75" s="221"/>
      <c r="F75" s="222"/>
      <c r="G75" s="223"/>
      <c r="H75" s="224">
        <f>SUBTOTAL(9,H65:H74)</f>
        <v>399950000</v>
      </c>
      <c r="I75" s="225" t="str">
        <f>I74</f>
        <v>/KONTRAK</v>
      </c>
      <c r="J75" s="183"/>
      <c r="K75" s="183"/>
      <c r="L75" s="183"/>
      <c r="M75" s="183"/>
      <c r="N75" s="183"/>
      <c r="S75" s="283">
        <f>SUM(S65:S74)</f>
        <v>22500000</v>
      </c>
      <c r="T75" s="283">
        <f>SUM(T65:T74)</f>
        <v>399950000</v>
      </c>
    </row>
    <row r="76" spans="1:20" x14ac:dyDescent="0.3">
      <c r="S76" s="298"/>
      <c r="T76" s="299"/>
    </row>
    <row r="77" spans="1:20" x14ac:dyDescent="0.3">
      <c r="S77" s="298"/>
      <c r="T77" s="299"/>
    </row>
  </sheetData>
  <mergeCells count="113">
    <mergeCell ref="E5:I5"/>
    <mergeCell ref="H25:H26"/>
    <mergeCell ref="I25:I27"/>
    <mergeCell ref="D27:E27"/>
    <mergeCell ref="B18:C18"/>
    <mergeCell ref="D18:E18"/>
    <mergeCell ref="B20:C20"/>
    <mergeCell ref="D25:E26"/>
    <mergeCell ref="F25:F26"/>
    <mergeCell ref="D20:E20"/>
    <mergeCell ref="D22:E22"/>
    <mergeCell ref="D19:E19"/>
    <mergeCell ref="C1:I1"/>
    <mergeCell ref="C2:I2"/>
    <mergeCell ref="H11:H12"/>
    <mergeCell ref="I11:I13"/>
    <mergeCell ref="E6:I6"/>
    <mergeCell ref="F11:F12"/>
    <mergeCell ref="G11:G12"/>
    <mergeCell ref="D13:E13"/>
    <mergeCell ref="A25:A27"/>
    <mergeCell ref="B25:C26"/>
    <mergeCell ref="A11:A13"/>
    <mergeCell ref="B11:C12"/>
    <mergeCell ref="D11:E12"/>
    <mergeCell ref="B16:C16"/>
    <mergeCell ref="D16:E16"/>
    <mergeCell ref="B17:C17"/>
    <mergeCell ref="D17:E17"/>
    <mergeCell ref="G25:G26"/>
    <mergeCell ref="B14:C14"/>
    <mergeCell ref="D14:E14"/>
    <mergeCell ref="A3:B3"/>
    <mergeCell ref="E3:I3"/>
    <mergeCell ref="E4:I4"/>
    <mergeCell ref="A5:B5"/>
    <mergeCell ref="A62:A64"/>
    <mergeCell ref="B62:C63"/>
    <mergeCell ref="D62:E63"/>
    <mergeCell ref="F62:F63"/>
    <mergeCell ref="G62:G63"/>
    <mergeCell ref="B28:C28"/>
    <mergeCell ref="D28:E28"/>
    <mergeCell ref="A42:A44"/>
    <mergeCell ref="D33:E33"/>
    <mergeCell ref="B34:C34"/>
    <mergeCell ref="B41:H41"/>
    <mergeCell ref="H42:H43"/>
    <mergeCell ref="B35:C35"/>
    <mergeCell ref="D35:E35"/>
    <mergeCell ref="D34:E34"/>
    <mergeCell ref="B36:C36"/>
    <mergeCell ref="D36:E36"/>
    <mergeCell ref="B37:C37"/>
    <mergeCell ref="B42:C43"/>
    <mergeCell ref="B47:C47"/>
    <mergeCell ref="D47:E47"/>
    <mergeCell ref="B48:C48"/>
    <mergeCell ref="D48:E48"/>
    <mergeCell ref="B52:C52"/>
    <mergeCell ref="I42:I44"/>
    <mergeCell ref="D44:E44"/>
    <mergeCell ref="I62:I64"/>
    <mergeCell ref="D64:E64"/>
    <mergeCell ref="B55:C55"/>
    <mergeCell ref="D55:E55"/>
    <mergeCell ref="D56:E56"/>
    <mergeCell ref="B45:C45"/>
    <mergeCell ref="D45:E45"/>
    <mergeCell ref="B46:C46"/>
    <mergeCell ref="D46:E46"/>
    <mergeCell ref="B54:C54"/>
    <mergeCell ref="D54:E54"/>
    <mergeCell ref="D52:E52"/>
    <mergeCell ref="B49:C49"/>
    <mergeCell ref="D49:E49"/>
    <mergeCell ref="B50:C50"/>
    <mergeCell ref="D50:E50"/>
    <mergeCell ref="B51:C51"/>
    <mergeCell ref="D51:E51"/>
    <mergeCell ref="S11:S13"/>
    <mergeCell ref="T11:T13"/>
    <mergeCell ref="B73:C73"/>
    <mergeCell ref="B15:C15"/>
    <mergeCell ref="D15:E15"/>
    <mergeCell ref="B70:C70"/>
    <mergeCell ref="D70:E70"/>
    <mergeCell ref="B71:C71"/>
    <mergeCell ref="D71:E71"/>
    <mergeCell ref="B72:C72"/>
    <mergeCell ref="D72:E72"/>
    <mergeCell ref="B67:C67"/>
    <mergeCell ref="D67:E67"/>
    <mergeCell ref="B68:C68"/>
    <mergeCell ref="D68:E68"/>
    <mergeCell ref="B69:C69"/>
    <mergeCell ref="D29:E29"/>
    <mergeCell ref="D30:E30"/>
    <mergeCell ref="D31:E31"/>
    <mergeCell ref="D69:E69"/>
    <mergeCell ref="B66:C66"/>
    <mergeCell ref="D66:E66"/>
    <mergeCell ref="B57:C57"/>
    <mergeCell ref="B61:H61"/>
    <mergeCell ref="B65:C65"/>
    <mergeCell ref="D65:E65"/>
    <mergeCell ref="B53:C53"/>
    <mergeCell ref="D53:E53"/>
    <mergeCell ref="D42:E43"/>
    <mergeCell ref="F42:F43"/>
    <mergeCell ref="G42:G43"/>
    <mergeCell ref="H62:H63"/>
    <mergeCell ref="D32:E32"/>
  </mergeCells>
  <conditionalFormatting sqref="G28 G45:G46 G55 G53">
    <cfRule type="expression" dxfId="20" priority="46" stopIfTrue="1">
      <formula>$D28="N/R"</formula>
    </cfRule>
  </conditionalFormatting>
  <conditionalFormatting sqref="G36">
    <cfRule type="expression" dxfId="19" priority="45" stopIfTrue="1">
      <formula>$D36="N/R"</formula>
    </cfRule>
  </conditionalFormatting>
  <conditionalFormatting sqref="G35">
    <cfRule type="expression" dxfId="18" priority="43" stopIfTrue="1">
      <formula>$D35="N/R"</formula>
    </cfRule>
  </conditionalFormatting>
  <conditionalFormatting sqref="G56">
    <cfRule type="expression" dxfId="17" priority="37" stopIfTrue="1">
      <formula>$D56="N/R"</formula>
    </cfRule>
  </conditionalFormatting>
  <conditionalFormatting sqref="G66:G67">
    <cfRule type="expression" dxfId="16" priority="22" stopIfTrue="1">
      <formula>$D66="N/R"</formula>
    </cfRule>
  </conditionalFormatting>
  <conditionalFormatting sqref="G72">
    <cfRule type="expression" dxfId="15" priority="29" stopIfTrue="1">
      <formula>$D72="N/R"</formula>
    </cfRule>
  </conditionalFormatting>
  <conditionalFormatting sqref="G65">
    <cfRule type="expression" dxfId="14" priority="28" stopIfTrue="1">
      <formula>$D65="N/R"</formula>
    </cfRule>
  </conditionalFormatting>
  <conditionalFormatting sqref="G71">
    <cfRule type="expression" dxfId="13" priority="27" stopIfTrue="1">
      <formula>$D71="N/R"</formula>
    </cfRule>
  </conditionalFormatting>
  <conditionalFormatting sqref="C32">
    <cfRule type="expression" dxfId="12" priority="19" stopIfTrue="1">
      <formula>$D32="N/R"</formula>
    </cfRule>
  </conditionalFormatting>
  <conditionalFormatting sqref="B34">
    <cfRule type="expression" dxfId="11" priority="13" stopIfTrue="1">
      <formula>$D34="N/R"</formula>
    </cfRule>
  </conditionalFormatting>
  <conditionalFormatting sqref="G34 G29:G32">
    <cfRule type="expression" dxfId="10" priority="12" stopIfTrue="1">
      <formula>$D29="N/R"</formula>
    </cfRule>
  </conditionalFormatting>
  <conditionalFormatting sqref="G68:G70">
    <cfRule type="expression" dxfId="9" priority="10" stopIfTrue="1">
      <formula>$D68="N/R"</formula>
    </cfRule>
  </conditionalFormatting>
  <conditionalFormatting sqref="B33:C33">
    <cfRule type="expression" dxfId="8" priority="9" stopIfTrue="1">
      <formula>$D33="N/R"</formula>
    </cfRule>
  </conditionalFormatting>
  <conditionalFormatting sqref="G33">
    <cfRule type="expression" dxfId="7" priority="8" stopIfTrue="1">
      <formula>$D33="N/R"</formula>
    </cfRule>
  </conditionalFormatting>
  <conditionalFormatting sqref="G54">
    <cfRule type="expression" dxfId="6" priority="7" stopIfTrue="1">
      <formula>$D54="N/R"</formula>
    </cfRule>
  </conditionalFormatting>
  <conditionalFormatting sqref="G52 G47">
    <cfRule type="expression" dxfId="5" priority="6" stopIfTrue="1">
      <formula>$D47="N/R"</formula>
    </cfRule>
  </conditionalFormatting>
  <conditionalFormatting sqref="G48">
    <cfRule type="expression" dxfId="4" priority="5" stopIfTrue="1">
      <formula>$D48="N/R"</formula>
    </cfRule>
  </conditionalFormatting>
  <conditionalFormatting sqref="G50">
    <cfRule type="expression" dxfId="3" priority="4" stopIfTrue="1">
      <formula>$D50="N/R"</formula>
    </cfRule>
  </conditionalFormatting>
  <conditionalFormatting sqref="G51">
    <cfRule type="expression" dxfId="2" priority="3" stopIfTrue="1">
      <formula>$D51="N/R"</formula>
    </cfRule>
  </conditionalFormatting>
  <conditionalFormatting sqref="G49">
    <cfRule type="expression" dxfId="1" priority="2" stopIfTrue="1">
      <formula>$D49="N/R"</formula>
    </cfRule>
  </conditionalFormatting>
  <conditionalFormatting sqref="B32">
    <cfRule type="expression" dxfId="0" priority="1" stopIfTrue="1">
      <formula>$D32="N/R"</formula>
    </cfRule>
  </conditionalFormatting>
  <pageMargins left="0.7" right="0.7" top="0.75" bottom="0.75" header="0.3" footer="0.3"/>
  <pageSetup paperSize="9" scale="39" fitToHeight="0"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DB77-1404-4CC2-9B38-665DB320606F}">
  <sheetPr>
    <pageSetUpPr fitToPage="1"/>
  </sheetPr>
  <dimension ref="A1:U30"/>
  <sheetViews>
    <sheetView showGridLines="0" topLeftCell="A7" workbookViewId="0">
      <selection activeCell="L14" sqref="L14"/>
    </sheetView>
  </sheetViews>
  <sheetFormatPr defaultColWidth="9.109375" defaultRowHeight="13.8" x14ac:dyDescent="0.3"/>
  <cols>
    <col min="1" max="1" width="5.6640625" style="58" customWidth="1"/>
    <col min="2" max="4" width="4.6640625" style="58" customWidth="1"/>
    <col min="5" max="5" width="7" style="58" customWidth="1"/>
    <col min="6" max="6" width="11" style="58" customWidth="1"/>
    <col min="7" max="7" width="2.33203125" style="58" customWidth="1"/>
    <col min="8" max="8" width="12.44140625" style="58" customWidth="1"/>
    <col min="9" max="9" width="9.5546875" style="58" customWidth="1"/>
    <col min="10" max="10" width="5.5546875" style="58" customWidth="1"/>
    <col min="11" max="11" width="20.6640625" style="150" customWidth="1"/>
    <col min="12" max="12" width="22.6640625" style="150" customWidth="1"/>
    <col min="13" max="13" width="14.44140625" style="58" customWidth="1"/>
    <col min="14" max="14" width="11.5546875" style="65" bestFit="1" customWidth="1"/>
    <col min="15" max="15" width="12.109375" style="66" bestFit="1" customWidth="1"/>
    <col min="16" max="16" width="10.6640625" style="66" bestFit="1" customWidth="1"/>
    <col min="17" max="16384" width="9.109375" style="66"/>
  </cols>
  <sheetData>
    <row r="1" spans="1:20" ht="23.4" x14ac:dyDescent="0.3">
      <c r="A1" s="60"/>
      <c r="B1" s="61"/>
      <c r="C1" s="61"/>
      <c r="D1" s="61"/>
      <c r="E1" s="62"/>
      <c r="F1" s="63"/>
      <c r="G1" s="64"/>
      <c r="H1" s="486" t="str">
        <f>'1'!D1</f>
        <v>PENAWARAN REKANAN</v>
      </c>
      <c r="I1" s="486"/>
      <c r="J1" s="486"/>
      <c r="K1" s="486"/>
      <c r="L1" s="486"/>
      <c r="M1" s="487"/>
    </row>
    <row r="2" spans="1:20" ht="18" x14ac:dyDescent="0.3">
      <c r="A2" s="67"/>
      <c r="B2" s="68"/>
      <c r="C2" s="68"/>
      <c r="D2" s="68"/>
      <c r="E2" s="56"/>
      <c r="F2" s="69"/>
      <c r="G2" s="70"/>
      <c r="H2" s="356" t="s">
        <v>27</v>
      </c>
      <c r="I2" s="356"/>
      <c r="J2" s="356"/>
      <c r="K2" s="356"/>
      <c r="L2" s="356"/>
      <c r="M2" s="357"/>
    </row>
    <row r="3" spans="1:20" ht="38.25" customHeight="1" x14ac:dyDescent="0.3">
      <c r="A3" s="488"/>
      <c r="B3" s="489"/>
      <c r="C3" s="489"/>
      <c r="D3" s="489"/>
      <c r="E3" s="56"/>
      <c r="F3" s="57"/>
      <c r="G3" s="71"/>
      <c r="H3" s="72" t="s">
        <v>10</v>
      </c>
      <c r="I3" s="56"/>
      <c r="J3" s="56" t="s">
        <v>0</v>
      </c>
      <c r="K3" s="490" t="str">
        <f>'1'!F3</f>
        <v>JASA PEKERJAAN PEMERIKSAAN BAWAH AIR STRUKTUR PILE AREA LOADING DOCK 2 DAN COOLING WATER INTAKE</v>
      </c>
      <c r="L3" s="490"/>
      <c r="M3" s="491"/>
      <c r="N3" s="73"/>
      <c r="O3" s="74"/>
      <c r="P3" s="74"/>
      <c r="Q3" s="74"/>
      <c r="R3" s="74"/>
      <c r="S3" s="74"/>
      <c r="T3" s="74"/>
    </row>
    <row r="4" spans="1:20" ht="15.6" x14ac:dyDescent="0.3">
      <c r="A4" s="488"/>
      <c r="B4" s="489"/>
      <c r="C4" s="489"/>
      <c r="D4" s="489"/>
      <c r="E4" s="56"/>
      <c r="F4" s="57"/>
      <c r="G4" s="71"/>
      <c r="H4" s="72" t="s">
        <v>1</v>
      </c>
      <c r="I4" s="56"/>
      <c r="J4" s="56" t="s">
        <v>0</v>
      </c>
      <c r="K4" s="373" t="str">
        <f>'1'!F4</f>
        <v>CA-25021</v>
      </c>
      <c r="L4" s="373"/>
      <c r="M4" s="374"/>
      <c r="N4" s="25"/>
      <c r="O4" s="75"/>
      <c r="P4" s="75"/>
      <c r="Q4" s="75"/>
      <c r="R4" s="75"/>
      <c r="S4" s="75"/>
      <c r="T4" s="75"/>
    </row>
    <row r="5" spans="1:20" ht="21" x14ac:dyDescent="0.3">
      <c r="A5" s="375"/>
      <c r="B5" s="376"/>
      <c r="C5" s="376"/>
      <c r="D5" s="376"/>
      <c r="E5" s="56"/>
      <c r="F5" s="57"/>
      <c r="G5" s="71"/>
      <c r="H5" s="72" t="s">
        <v>12</v>
      </c>
      <c r="I5" s="56"/>
      <c r="J5" s="56" t="s">
        <v>0</v>
      </c>
      <c r="K5" s="373" t="str">
        <f>'1'!F5</f>
        <v>LUMPSUM</v>
      </c>
      <c r="L5" s="373"/>
      <c r="M5" s="374"/>
      <c r="N5" s="25"/>
      <c r="O5" s="75"/>
      <c r="P5" s="75"/>
      <c r="Q5" s="75"/>
      <c r="R5" s="75"/>
      <c r="S5" s="75"/>
      <c r="T5" s="75"/>
    </row>
    <row r="6" spans="1:20" ht="15.6" x14ac:dyDescent="0.3">
      <c r="A6" s="492"/>
      <c r="B6" s="493"/>
      <c r="C6" s="493"/>
      <c r="D6" s="493"/>
      <c r="E6" s="56"/>
      <c r="F6" s="57"/>
      <c r="G6" s="71"/>
      <c r="H6" s="72" t="s">
        <v>2</v>
      </c>
      <c r="I6" s="56"/>
      <c r="J6" s="56" t="s">
        <v>0</v>
      </c>
      <c r="K6" s="494">
        <f>'1'!F6</f>
        <v>9</v>
      </c>
      <c r="L6" s="494"/>
      <c r="M6" s="495"/>
      <c r="N6" s="76"/>
      <c r="O6" s="76"/>
      <c r="P6" s="76"/>
      <c r="Q6" s="76"/>
      <c r="R6" s="76"/>
      <c r="S6" s="76"/>
      <c r="T6" s="76"/>
    </row>
    <row r="7" spans="1:20" ht="18" x14ac:dyDescent="0.3">
      <c r="A7" s="77"/>
      <c r="B7" s="48"/>
      <c r="C7" s="48"/>
      <c r="D7" s="48"/>
      <c r="E7" s="48"/>
      <c r="F7" s="48"/>
      <c r="G7" s="48"/>
      <c r="H7" s="48"/>
      <c r="I7" s="48"/>
      <c r="J7" s="48"/>
      <c r="K7" s="50"/>
      <c r="L7" s="50"/>
      <c r="M7" s="78" t="s">
        <v>28</v>
      </c>
    </row>
    <row r="8" spans="1:20" x14ac:dyDescent="0.3">
      <c r="A8" s="79"/>
      <c r="B8" s="56"/>
      <c r="C8" s="56"/>
      <c r="D8" s="56"/>
      <c r="E8" s="56"/>
      <c r="F8" s="56"/>
      <c r="G8" s="56"/>
      <c r="H8" s="56"/>
      <c r="I8" s="56"/>
      <c r="J8" s="56"/>
      <c r="K8" s="80"/>
      <c r="L8" s="80"/>
      <c r="M8" s="81"/>
    </row>
    <row r="9" spans="1:20" s="85" customFormat="1" ht="14.4" x14ac:dyDescent="0.3">
      <c r="A9" s="496" t="s">
        <v>25</v>
      </c>
      <c r="B9" s="498" t="s">
        <v>29</v>
      </c>
      <c r="C9" s="499"/>
      <c r="D9" s="499"/>
      <c r="E9" s="499"/>
      <c r="F9" s="499"/>
      <c r="G9" s="499"/>
      <c r="H9" s="500"/>
      <c r="I9" s="504" t="s">
        <v>26</v>
      </c>
      <c r="J9" s="500" t="s">
        <v>30</v>
      </c>
      <c r="K9" s="82" t="s">
        <v>31</v>
      </c>
      <c r="L9" s="83" t="s">
        <v>32</v>
      </c>
      <c r="M9" s="484" t="s">
        <v>16</v>
      </c>
      <c r="N9" s="84"/>
      <c r="R9" s="484" t="s">
        <v>109</v>
      </c>
      <c r="S9" s="484" t="s">
        <v>110</v>
      </c>
    </row>
    <row r="10" spans="1:20" s="85" customFormat="1" ht="14.4" x14ac:dyDescent="0.3">
      <c r="A10" s="497"/>
      <c r="B10" s="501"/>
      <c r="C10" s="502"/>
      <c r="D10" s="502"/>
      <c r="E10" s="502"/>
      <c r="F10" s="502"/>
      <c r="G10" s="502"/>
      <c r="H10" s="503"/>
      <c r="I10" s="505"/>
      <c r="J10" s="503"/>
      <c r="K10" s="86" t="s">
        <v>33</v>
      </c>
      <c r="L10" s="86" t="s">
        <v>33</v>
      </c>
      <c r="M10" s="485"/>
      <c r="N10" s="84"/>
      <c r="R10" s="485"/>
      <c r="S10" s="485"/>
    </row>
    <row r="11" spans="1:20" s="96" customFormat="1" ht="14.4" x14ac:dyDescent="0.3">
      <c r="A11" s="87" t="s">
        <v>34</v>
      </c>
      <c r="B11" s="88" t="s">
        <v>35</v>
      </c>
      <c r="C11" s="89"/>
      <c r="D11" s="89"/>
      <c r="E11" s="89"/>
      <c r="F11" s="89"/>
      <c r="G11" s="89"/>
      <c r="H11" s="89"/>
      <c r="I11" s="90"/>
      <c r="J11" s="91"/>
      <c r="K11" s="92"/>
      <c r="L11" s="93"/>
      <c r="M11" s="94"/>
      <c r="N11" s="95"/>
    </row>
    <row r="12" spans="1:20" s="85" customFormat="1" ht="14.4" x14ac:dyDescent="0.3">
      <c r="A12" s="97">
        <v>1</v>
      </c>
      <c r="B12" s="98" t="s">
        <v>94</v>
      </c>
      <c r="C12" s="99"/>
      <c r="D12" s="99"/>
      <c r="E12" s="99"/>
      <c r="F12" s="99"/>
      <c r="G12" s="99"/>
      <c r="H12" s="99"/>
      <c r="I12" s="100"/>
      <c r="J12" s="100"/>
      <c r="K12" s="101"/>
      <c r="L12" s="102">
        <f>'1'!H10</f>
        <v>2103545000</v>
      </c>
      <c r="M12" s="103" t="s">
        <v>36</v>
      </c>
      <c r="N12" s="84"/>
    </row>
    <row r="13" spans="1:20" s="85" customFormat="1" ht="14.4" x14ac:dyDescent="0.3">
      <c r="A13" s="104">
        <v>2</v>
      </c>
      <c r="B13" s="512" t="s">
        <v>20</v>
      </c>
      <c r="C13" s="513"/>
      <c r="D13" s="513"/>
      <c r="E13" s="513"/>
      <c r="F13" s="513"/>
      <c r="G13" s="513"/>
      <c r="H13" s="514"/>
      <c r="I13" s="105"/>
      <c r="J13" s="105"/>
      <c r="K13" s="106"/>
      <c r="L13" s="107">
        <f>'1'!H11</f>
        <v>669500000</v>
      </c>
      <c r="M13" s="103" t="s">
        <v>36</v>
      </c>
      <c r="N13" s="84"/>
    </row>
    <row r="14" spans="1:20" s="85" customFormat="1" ht="14.4" x14ac:dyDescent="0.3">
      <c r="A14" s="108">
        <v>2</v>
      </c>
      <c r="B14" s="515" t="s">
        <v>22</v>
      </c>
      <c r="C14" s="516"/>
      <c r="D14" s="516"/>
      <c r="E14" s="516"/>
      <c r="F14" s="516"/>
      <c r="G14" s="516"/>
      <c r="H14" s="517"/>
      <c r="I14" s="109"/>
      <c r="J14" s="110"/>
      <c r="K14" s="111"/>
      <c r="L14" s="112">
        <f>'1'!H12</f>
        <v>399950000</v>
      </c>
      <c r="M14" s="113" t="s">
        <v>36</v>
      </c>
      <c r="N14" s="84"/>
    </row>
    <row r="15" spans="1:20" s="85" customFormat="1" ht="14.4" x14ac:dyDescent="0.3">
      <c r="A15" s="114"/>
      <c r="B15" s="115"/>
      <c r="C15" s="116"/>
      <c r="D15" s="116"/>
      <c r="E15" s="116"/>
      <c r="F15" s="116"/>
      <c r="G15" s="116"/>
      <c r="H15" s="116"/>
      <c r="I15" s="116"/>
      <c r="J15" s="116"/>
      <c r="K15" s="117" t="s">
        <v>37</v>
      </c>
      <c r="L15" s="118">
        <f>SUM(L12:L14)</f>
        <v>3172995000</v>
      </c>
      <c r="M15" s="119" t="s">
        <v>36</v>
      </c>
      <c r="N15" s="84"/>
    </row>
    <row r="16" spans="1:20" s="85" customFormat="1" ht="14.4" x14ac:dyDescent="0.3">
      <c r="A16" s="87" t="s">
        <v>38</v>
      </c>
      <c r="B16" s="120" t="s">
        <v>39</v>
      </c>
      <c r="C16" s="121"/>
      <c r="D16" s="121"/>
      <c r="E16" s="121"/>
      <c r="F16" s="121"/>
      <c r="G16" s="121"/>
      <c r="H16" s="121"/>
      <c r="I16" s="122"/>
      <c r="J16" s="122"/>
      <c r="K16" s="123"/>
      <c r="L16" s="124"/>
      <c r="M16" s="125"/>
      <c r="N16" s="84"/>
    </row>
    <row r="17" spans="1:21" s="85" customFormat="1" ht="14.4" x14ac:dyDescent="0.3">
      <c r="A17" s="114"/>
      <c r="B17" s="330" t="s">
        <v>153</v>
      </c>
      <c r="C17" s="331"/>
      <c r="D17" s="331"/>
      <c r="E17" s="331"/>
      <c r="F17" s="331"/>
      <c r="G17" s="331"/>
      <c r="H17" s="332"/>
      <c r="I17" s="333">
        <v>0.25</v>
      </c>
      <c r="J17" s="334">
        <v>1</v>
      </c>
      <c r="K17" s="335">
        <v>2000000</v>
      </c>
      <c r="L17" s="336">
        <f>I17*K17</f>
        <v>500000</v>
      </c>
      <c r="M17" s="337" t="s">
        <v>154</v>
      </c>
      <c r="N17" s="84"/>
      <c r="O17" s="327"/>
      <c r="P17" s="327"/>
      <c r="Q17" s="327"/>
      <c r="R17" s="291">
        <f>L17</f>
        <v>500000</v>
      </c>
    </row>
    <row r="18" spans="1:21" s="85" customFormat="1" ht="14.4" x14ac:dyDescent="0.3">
      <c r="A18" s="104"/>
      <c r="B18" s="338"/>
      <c r="C18" s="339"/>
      <c r="D18" s="339"/>
      <c r="E18" s="339"/>
      <c r="F18" s="339"/>
      <c r="G18" s="339"/>
      <c r="H18" s="340"/>
      <c r="I18" s="341"/>
      <c r="J18" s="342"/>
      <c r="K18" s="335"/>
      <c r="L18" s="336"/>
      <c r="M18" s="337"/>
      <c r="N18" s="84"/>
      <c r="R18" s="291">
        <f t="shared" ref="R18:R19" si="0">L18</f>
        <v>0</v>
      </c>
    </row>
    <row r="19" spans="1:21" s="85" customFormat="1" ht="14.4" x14ac:dyDescent="0.3">
      <c r="A19" s="104"/>
      <c r="B19" s="518"/>
      <c r="C19" s="519"/>
      <c r="D19" s="519"/>
      <c r="E19" s="519"/>
      <c r="F19" s="519"/>
      <c r="G19" s="519"/>
      <c r="H19" s="520"/>
      <c r="I19" s="342"/>
      <c r="J19" s="342"/>
      <c r="K19" s="335"/>
      <c r="L19" s="335"/>
      <c r="M19" s="337"/>
      <c r="N19" s="84"/>
      <c r="R19" s="291">
        <f t="shared" si="0"/>
        <v>0</v>
      </c>
    </row>
    <row r="20" spans="1:21" s="85" customFormat="1" ht="14.4" x14ac:dyDescent="0.3">
      <c r="A20" s="104"/>
      <c r="B20" s="521"/>
      <c r="C20" s="522"/>
      <c r="D20" s="522"/>
      <c r="E20" s="522"/>
      <c r="F20" s="522"/>
      <c r="G20" s="522"/>
      <c r="H20" s="523"/>
      <c r="I20" s="127"/>
      <c r="J20" s="127"/>
      <c r="K20" s="126"/>
      <c r="L20" s="126"/>
      <c r="M20" s="103"/>
      <c r="N20" s="84"/>
      <c r="R20" s="291"/>
    </row>
    <row r="21" spans="1:21" s="85" customFormat="1" ht="14.4" x14ac:dyDescent="0.3">
      <c r="A21" s="104"/>
      <c r="B21" s="524"/>
      <c r="C21" s="525"/>
      <c r="D21" s="525"/>
      <c r="E21" s="525"/>
      <c r="F21" s="525"/>
      <c r="G21" s="525"/>
      <c r="H21" s="526"/>
      <c r="I21" s="128"/>
      <c r="J21" s="128"/>
      <c r="K21" s="129"/>
      <c r="L21" s="130"/>
      <c r="M21" s="131"/>
      <c r="N21" s="84"/>
    </row>
    <row r="22" spans="1:21" s="85" customFormat="1" ht="14.4" x14ac:dyDescent="0.3">
      <c r="A22" s="132"/>
      <c r="B22" s="507" t="s">
        <v>40</v>
      </c>
      <c r="C22" s="508"/>
      <c r="D22" s="508"/>
      <c r="E22" s="508"/>
      <c r="F22" s="508"/>
      <c r="G22" s="508"/>
      <c r="H22" s="508"/>
      <c r="I22" s="508"/>
      <c r="J22" s="508"/>
      <c r="K22" s="508"/>
      <c r="L22" s="133">
        <f>SUM(L17:L21)</f>
        <v>500000</v>
      </c>
      <c r="M22" s="134" t="s">
        <v>36</v>
      </c>
      <c r="N22" s="84"/>
    </row>
    <row r="23" spans="1:21" s="85" customFormat="1" ht="14.4" x14ac:dyDescent="0.3">
      <c r="A23" s="135"/>
      <c r="B23" s="506"/>
      <c r="C23" s="506"/>
      <c r="D23" s="506"/>
      <c r="E23" s="506"/>
      <c r="F23" s="506"/>
      <c r="G23" s="506"/>
      <c r="H23" s="506"/>
      <c r="I23" s="136"/>
      <c r="J23" s="136"/>
      <c r="K23" s="137"/>
      <c r="L23" s="138"/>
      <c r="M23" s="139"/>
      <c r="N23" s="84"/>
    </row>
    <row r="24" spans="1:21" ht="14.4" x14ac:dyDescent="0.3">
      <c r="A24" s="140" t="s">
        <v>41</v>
      </c>
      <c r="B24" s="507" t="s">
        <v>42</v>
      </c>
      <c r="C24" s="508"/>
      <c r="D24" s="508"/>
      <c r="E24" s="508"/>
      <c r="F24" s="508"/>
      <c r="G24" s="508"/>
      <c r="H24" s="508"/>
      <c r="I24" s="508"/>
      <c r="J24" s="508"/>
      <c r="K24" s="508"/>
      <c r="L24" s="141">
        <f>L22</f>
        <v>500000</v>
      </c>
      <c r="M24" s="142" t="str">
        <f>M15</f>
        <v>/Kontrak</v>
      </c>
      <c r="N24" s="84"/>
      <c r="O24" s="85"/>
      <c r="P24" s="85"/>
      <c r="Q24" s="85"/>
      <c r="R24" s="291">
        <f>SUM(R17:R23)</f>
        <v>500000</v>
      </c>
      <c r="S24" s="291">
        <f>SUM(S17:S23)</f>
        <v>0</v>
      </c>
      <c r="T24" s="85"/>
      <c r="U24" s="85"/>
    </row>
    <row r="25" spans="1:21" x14ac:dyDescent="0.3">
      <c r="A25" s="79"/>
      <c r="B25" s="143"/>
      <c r="C25" s="143"/>
      <c r="D25" s="143"/>
      <c r="E25" s="143"/>
      <c r="F25" s="143"/>
      <c r="G25" s="143"/>
      <c r="H25" s="143"/>
      <c r="I25" s="509"/>
      <c r="J25" s="509"/>
      <c r="K25" s="144"/>
      <c r="L25" s="510" t="s">
        <v>43</v>
      </c>
      <c r="M25" s="511"/>
      <c r="N25" s="84"/>
      <c r="O25" s="85"/>
      <c r="P25" s="85"/>
      <c r="Q25" s="85"/>
      <c r="R25" s="85"/>
      <c r="S25" s="85"/>
      <c r="T25" s="85"/>
      <c r="U25" s="85"/>
    </row>
    <row r="26" spans="1:21" ht="14.4" thickBot="1" x14ac:dyDescent="0.35">
      <c r="A26" s="145"/>
      <c r="B26" s="146"/>
      <c r="C26" s="146"/>
      <c r="D26" s="146"/>
      <c r="E26" s="146"/>
      <c r="F26" s="146"/>
      <c r="G26" s="146"/>
      <c r="H26" s="146"/>
      <c r="I26" s="146"/>
      <c r="J26" s="146"/>
      <c r="K26" s="147"/>
      <c r="L26" s="147"/>
      <c r="M26" s="148"/>
      <c r="N26" s="84"/>
      <c r="O26" s="85"/>
      <c r="P26" s="85"/>
      <c r="Q26" s="85"/>
      <c r="R26" s="85"/>
      <c r="S26" s="85"/>
      <c r="T26" s="85"/>
      <c r="U26" s="85"/>
    </row>
    <row r="27" spans="1:21" x14ac:dyDescent="0.3">
      <c r="A27" s="149"/>
      <c r="N27" s="84"/>
      <c r="O27" s="85"/>
      <c r="P27" s="85"/>
      <c r="Q27" s="85"/>
      <c r="R27" s="85"/>
      <c r="S27" s="85"/>
      <c r="T27" s="85"/>
      <c r="U27" s="85"/>
    </row>
    <row r="28" spans="1:21" ht="15.6" x14ac:dyDescent="0.3">
      <c r="A28" s="151"/>
      <c r="B28" s="27"/>
      <c r="C28" s="152"/>
      <c r="D28" s="152"/>
      <c r="E28" s="153"/>
      <c r="F28" s="153"/>
      <c r="G28" s="153"/>
      <c r="H28" s="153"/>
      <c r="I28" s="153"/>
      <c r="J28" s="153"/>
      <c r="K28" s="153"/>
      <c r="N28" s="84"/>
      <c r="O28" s="85"/>
      <c r="P28" s="85"/>
      <c r="Q28" s="85"/>
      <c r="R28" s="85"/>
      <c r="S28" s="85"/>
      <c r="T28" s="85"/>
      <c r="U28" s="85"/>
    </row>
    <row r="29" spans="1:21" ht="15.6" x14ac:dyDescent="0.3">
      <c r="A29" s="151"/>
      <c r="B29" s="27"/>
      <c r="C29" s="152"/>
      <c r="D29" s="152"/>
      <c r="E29" s="153"/>
      <c r="F29" s="153"/>
      <c r="G29" s="153"/>
      <c r="H29" s="153"/>
      <c r="I29" s="153"/>
      <c r="J29" s="153"/>
      <c r="K29" s="153"/>
      <c r="N29" s="84"/>
      <c r="O29" s="85"/>
      <c r="P29" s="85"/>
      <c r="Q29" s="85"/>
      <c r="R29" s="85"/>
      <c r="S29" s="85"/>
      <c r="T29" s="85"/>
      <c r="U29" s="85"/>
    </row>
    <row r="30" spans="1:21" ht="15.6" x14ac:dyDescent="0.3">
      <c r="A30" s="154"/>
      <c r="B30" s="27"/>
      <c r="C30" s="152"/>
      <c r="D30" s="152"/>
      <c r="E30" s="153"/>
      <c r="F30" s="153"/>
      <c r="G30" s="153"/>
      <c r="H30" s="153"/>
      <c r="I30" s="153"/>
      <c r="J30" s="153"/>
      <c r="K30" s="153"/>
    </row>
  </sheetData>
  <mergeCells count="27">
    <mergeCell ref="M9:M10"/>
    <mergeCell ref="B23:H23"/>
    <mergeCell ref="B24:K24"/>
    <mergeCell ref="I25:J25"/>
    <mergeCell ref="L25:M25"/>
    <mergeCell ref="B13:H13"/>
    <mergeCell ref="B14:H14"/>
    <mergeCell ref="B19:H19"/>
    <mergeCell ref="B20:H20"/>
    <mergeCell ref="B21:H21"/>
    <mergeCell ref="B22:K22"/>
    <mergeCell ref="R9:R10"/>
    <mergeCell ref="S9:S10"/>
    <mergeCell ref="H1:M1"/>
    <mergeCell ref="H2:M2"/>
    <mergeCell ref="A3:D3"/>
    <mergeCell ref="K3:M3"/>
    <mergeCell ref="A4:D4"/>
    <mergeCell ref="K4:M4"/>
    <mergeCell ref="A5:D5"/>
    <mergeCell ref="K5:M5"/>
    <mergeCell ref="A6:D6"/>
    <mergeCell ref="K6:M6"/>
    <mergeCell ref="A9:A10"/>
    <mergeCell ref="B9:H10"/>
    <mergeCell ref="I9:I10"/>
    <mergeCell ref="J9:J10"/>
  </mergeCell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AD07-A307-492C-BD37-3E61A8EDFCB5}">
  <dimension ref="A1:T104"/>
  <sheetViews>
    <sheetView workbookViewId="0"/>
  </sheetViews>
  <sheetFormatPr defaultRowHeight="14.4" x14ac:dyDescent="0.3"/>
  <sheetData>
    <row r="1" spans="1:20" x14ac:dyDescent="0.3">
      <c r="A1" t="s">
        <v>46</v>
      </c>
    </row>
    <row r="2" spans="1:20" x14ac:dyDescent="0.3">
      <c r="A2" t="s">
        <v>7</v>
      </c>
      <c r="B2">
        <v>677050637.10700047</v>
      </c>
      <c r="C2" s="155">
        <v>0.05</v>
      </c>
      <c r="D2">
        <v>902981213.60164952</v>
      </c>
      <c r="F2" t="s">
        <v>135</v>
      </c>
      <c r="G2">
        <v>677050637.10700047</v>
      </c>
      <c r="H2">
        <v>30</v>
      </c>
      <c r="I2">
        <v>1.5544041450777201E-3</v>
      </c>
      <c r="L2">
        <v>1</v>
      </c>
      <c r="M2">
        <v>1</v>
      </c>
      <c r="N2">
        <v>5.2388854441832278E-2</v>
      </c>
      <c r="O2">
        <v>2</v>
      </c>
      <c r="P2">
        <v>677050637.10700047</v>
      </c>
      <c r="Q2">
        <v>30</v>
      </c>
      <c r="T2">
        <v>1.5544041450777201E-3</v>
      </c>
    </row>
    <row r="3" spans="1:20" x14ac:dyDescent="0.3">
      <c r="A3" t="s">
        <v>8</v>
      </c>
      <c r="B3">
        <v>1844718372.4152093</v>
      </c>
      <c r="C3" s="155">
        <v>0.1</v>
      </c>
      <c r="D3">
        <v>986603752.78063691</v>
      </c>
      <c r="F3">
        <v>19300</v>
      </c>
      <c r="G3">
        <v>695585045.60395622</v>
      </c>
      <c r="H3">
        <v>45</v>
      </c>
      <c r="I3">
        <v>3.8860103626943004E-3</v>
      </c>
      <c r="L3">
        <v>2</v>
      </c>
      <c r="M3">
        <v>2</v>
      </c>
      <c r="N3">
        <v>5.49150163318744E-2</v>
      </c>
      <c r="O3">
        <v>65</v>
      </c>
      <c r="P3">
        <v>695585045.60395622</v>
      </c>
      <c r="Q3">
        <v>45</v>
      </c>
      <c r="T3">
        <v>3.8860103626943004E-3</v>
      </c>
    </row>
    <row r="4" spans="1:20" x14ac:dyDescent="0.3">
      <c r="A4" t="s">
        <v>44</v>
      </c>
      <c r="B4">
        <v>1264365521.4343445</v>
      </c>
      <c r="C4" s="155">
        <v>0.15</v>
      </c>
      <c r="D4">
        <v>1046093038.0903527</v>
      </c>
      <c r="F4">
        <v>31</v>
      </c>
      <c r="G4">
        <v>714119454.10091186</v>
      </c>
      <c r="H4">
        <v>0</v>
      </c>
      <c r="I4">
        <v>3.8860103626943004E-3</v>
      </c>
      <c r="L4">
        <v>3</v>
      </c>
      <c r="M4">
        <v>3</v>
      </c>
      <c r="N4">
        <v>6.6423932780291392E-2</v>
      </c>
      <c r="P4">
        <v>714119454.10091186</v>
      </c>
      <c r="Q4">
        <v>0</v>
      </c>
      <c r="T4">
        <v>3.8860103626943004E-3</v>
      </c>
    </row>
    <row r="5" spans="1:20" x14ac:dyDescent="0.3">
      <c r="A5" t="s">
        <v>47</v>
      </c>
      <c r="B5">
        <v>224647822.84127775</v>
      </c>
      <c r="C5" s="155">
        <v>0.2</v>
      </c>
      <c r="D5">
        <v>1088765670.9631581</v>
      </c>
      <c r="F5">
        <v>1</v>
      </c>
      <c r="G5">
        <v>732653862.59786761</v>
      </c>
      <c r="H5">
        <v>76</v>
      </c>
      <c r="I5">
        <v>7.8238341968911908E-3</v>
      </c>
      <c r="L5">
        <v>4</v>
      </c>
      <c r="M5">
        <v>4</v>
      </c>
      <c r="N5">
        <v>6.5394118955411362E-2</v>
      </c>
      <c r="P5">
        <v>732653862.59786761</v>
      </c>
      <c r="Q5">
        <v>76</v>
      </c>
      <c r="T5">
        <v>7.8238341968911908E-3</v>
      </c>
    </row>
    <row r="6" spans="1:20" x14ac:dyDescent="0.3">
      <c r="A6" t="s">
        <v>45</v>
      </c>
      <c r="B6">
        <v>5.0466644307326112E+16</v>
      </c>
      <c r="C6" s="155">
        <v>0.25</v>
      </c>
      <c r="D6">
        <v>1123433217.2615678</v>
      </c>
      <c r="F6" t="s">
        <v>67</v>
      </c>
      <c r="G6">
        <v>751188271.09482324</v>
      </c>
      <c r="H6">
        <v>24</v>
      </c>
      <c r="I6">
        <v>9.0673575129533671E-3</v>
      </c>
      <c r="L6">
        <v>5</v>
      </c>
      <c r="M6">
        <v>5</v>
      </c>
      <c r="N6">
        <v>4.0973998939314955E-3</v>
      </c>
      <c r="P6">
        <v>751188271.09482324</v>
      </c>
      <c r="Q6">
        <v>24</v>
      </c>
      <c r="T6">
        <v>9.0673575129533671E-3</v>
      </c>
    </row>
    <row r="7" spans="1:20" x14ac:dyDescent="0.3">
      <c r="A7" t="s">
        <v>48</v>
      </c>
      <c r="B7">
        <v>-5.7328611800252102E-2</v>
      </c>
      <c r="C7" s="155">
        <v>0.3</v>
      </c>
      <c r="D7">
        <v>1155519047.3069487</v>
      </c>
      <c r="F7" s="156">
        <v>45834.357071759259</v>
      </c>
      <c r="G7">
        <v>769722679.59177899</v>
      </c>
      <c r="H7">
        <v>22</v>
      </c>
      <c r="I7">
        <v>1.0207253886010364E-2</v>
      </c>
      <c r="L7">
        <v>6</v>
      </c>
      <c r="M7">
        <v>6</v>
      </c>
      <c r="N7">
        <v>7.9950698794061553E-2</v>
      </c>
      <c r="P7">
        <v>769722679.59177899</v>
      </c>
      <c r="Q7">
        <v>22</v>
      </c>
      <c r="T7">
        <v>1.0207253886010364E-2</v>
      </c>
    </row>
    <row r="8" spans="1:20" x14ac:dyDescent="0.3">
      <c r="A8" t="s">
        <v>49</v>
      </c>
      <c r="B8">
        <v>-0.1878268137229262</v>
      </c>
      <c r="C8" s="155">
        <v>0.35</v>
      </c>
      <c r="D8">
        <v>1182017725.0940866</v>
      </c>
      <c r="F8" t="s">
        <v>136</v>
      </c>
      <c r="G8">
        <v>788257088.08873463</v>
      </c>
      <c r="H8">
        <v>75</v>
      </c>
      <c r="I8">
        <v>1.4093264248704664E-2</v>
      </c>
      <c r="L8">
        <v>7</v>
      </c>
      <c r="M8">
        <v>7</v>
      </c>
      <c r="N8">
        <v>4.2254436406168536E-3</v>
      </c>
      <c r="P8">
        <v>788257088.08873463</v>
      </c>
      <c r="Q8">
        <v>75</v>
      </c>
      <c r="T8">
        <v>1.4093264248704664E-2</v>
      </c>
    </row>
    <row r="9" spans="1:20" x14ac:dyDescent="0.3">
      <c r="A9" t="s">
        <v>50</v>
      </c>
      <c r="B9">
        <v>1262945929.8576913</v>
      </c>
      <c r="C9" s="155">
        <v>0.4</v>
      </c>
      <c r="D9">
        <v>1208476209.8837848</v>
      </c>
      <c r="F9" s="156">
        <v>45834.357037037036</v>
      </c>
      <c r="G9">
        <v>806791496.58569038</v>
      </c>
      <c r="H9">
        <v>102</v>
      </c>
      <c r="I9">
        <v>1.9378238341968911E-2</v>
      </c>
      <c r="L9">
        <v>8</v>
      </c>
      <c r="M9">
        <v>8</v>
      </c>
      <c r="N9">
        <v>2.589798730176068E-2</v>
      </c>
      <c r="P9">
        <v>806791496.58569038</v>
      </c>
      <c r="Q9">
        <v>102</v>
      </c>
      <c r="T9">
        <v>1.9378238341968911E-2</v>
      </c>
    </row>
    <row r="10" spans="1:20" x14ac:dyDescent="0.3">
      <c r="A10" t="s">
        <v>51</v>
      </c>
      <c r="B10">
        <v>1206984160.5377846</v>
      </c>
      <c r="C10" s="155">
        <v>0.45</v>
      </c>
      <c r="D10">
        <v>1235121673.5221417</v>
      </c>
      <c r="G10">
        <v>825325905.08264601</v>
      </c>
      <c r="H10">
        <v>96</v>
      </c>
      <c r="I10">
        <v>2.4352331606217616E-2</v>
      </c>
      <c r="J10">
        <v>713</v>
      </c>
      <c r="L10">
        <v>9</v>
      </c>
      <c r="M10">
        <v>9</v>
      </c>
      <c r="N10">
        <v>1.9085655564291482E-2</v>
      </c>
      <c r="P10">
        <v>825325905.08264601</v>
      </c>
      <c r="Q10">
        <v>96</v>
      </c>
      <c r="T10">
        <v>2.4352331606217616E-2</v>
      </c>
    </row>
    <row r="11" spans="1:20" x14ac:dyDescent="0.3">
      <c r="A11" t="s">
        <v>52</v>
      </c>
      <c r="B11">
        <v>809639957.411093</v>
      </c>
      <c r="C11" s="155">
        <v>0.5</v>
      </c>
      <c r="D11">
        <v>1262945929.8576913</v>
      </c>
      <c r="G11">
        <v>843860313.57960176</v>
      </c>
      <c r="H11">
        <v>99</v>
      </c>
      <c r="I11">
        <v>2.9481865284974092E-2</v>
      </c>
      <c r="L11">
        <v>10</v>
      </c>
      <c r="M11">
        <v>10</v>
      </c>
      <c r="N11">
        <v>8.8487579484974475E-4</v>
      </c>
      <c r="P11">
        <v>843860313.57960176</v>
      </c>
      <c r="Q11">
        <v>99</v>
      </c>
      <c r="T11">
        <v>2.9481865284974092E-2</v>
      </c>
    </row>
    <row r="12" spans="1:20" x14ac:dyDescent="0.3">
      <c r="A12" t="s">
        <v>53</v>
      </c>
      <c r="B12" t="s">
        <v>122</v>
      </c>
      <c r="C12" s="155">
        <v>0.55000000000000004</v>
      </c>
      <c r="D12">
        <v>1291634499.2007051</v>
      </c>
      <c r="G12">
        <v>862394722.0765574</v>
      </c>
      <c r="H12">
        <v>98</v>
      </c>
      <c r="I12">
        <v>3.4559585492227977E-2</v>
      </c>
      <c r="L12">
        <v>11</v>
      </c>
      <c r="M12">
        <v>11</v>
      </c>
      <c r="N12">
        <v>2.486286343405033E-3</v>
      </c>
      <c r="P12">
        <v>862394722.0765574</v>
      </c>
      <c r="Q12">
        <v>98</v>
      </c>
      <c r="T12">
        <v>3.4559585492227977E-2</v>
      </c>
    </row>
    <row r="13" spans="1:20" x14ac:dyDescent="0.3">
      <c r="A13" t="s">
        <v>54</v>
      </c>
      <c r="B13">
        <v>1703018000</v>
      </c>
      <c r="C13" s="155">
        <v>0.6</v>
      </c>
      <c r="D13">
        <v>1320251310.0095377</v>
      </c>
      <c r="G13">
        <v>880929130.57351315</v>
      </c>
      <c r="H13">
        <v>151</v>
      </c>
      <c r="I13">
        <v>4.238341968911917E-2</v>
      </c>
      <c r="L13">
        <v>12</v>
      </c>
      <c r="M13">
        <v>12</v>
      </c>
      <c r="N13">
        <v>1.1356316932225875E-2</v>
      </c>
      <c r="P13">
        <v>880929130.57351315</v>
      </c>
      <c r="Q13">
        <v>151</v>
      </c>
      <c r="T13">
        <v>4.238341968911917E-2</v>
      </c>
    </row>
    <row r="14" spans="1:20" x14ac:dyDescent="0.3">
      <c r="A14" t="s">
        <v>55</v>
      </c>
      <c r="B14" t="s">
        <v>123</v>
      </c>
      <c r="C14" s="155">
        <v>0.65</v>
      </c>
      <c r="D14">
        <v>1349877477.0509465</v>
      </c>
      <c r="G14">
        <v>899463539.0704689</v>
      </c>
      <c r="H14">
        <v>144</v>
      </c>
      <c r="I14">
        <v>4.9844559585492228E-2</v>
      </c>
      <c r="L14">
        <v>13</v>
      </c>
      <c r="M14">
        <v>13</v>
      </c>
      <c r="N14">
        <v>1.7041773644873782E-2</v>
      </c>
      <c r="P14">
        <v>899463539.0704689</v>
      </c>
      <c r="Q14">
        <v>144</v>
      </c>
      <c r="T14">
        <v>4.9844559585492228E-2</v>
      </c>
    </row>
    <row r="15" spans="1:20" x14ac:dyDescent="0.3">
      <c r="A15" t="s">
        <v>56</v>
      </c>
      <c r="B15">
        <v>893378042.588907</v>
      </c>
      <c r="C15" s="155">
        <v>0.7</v>
      </c>
      <c r="D15">
        <v>1382117317.2982903</v>
      </c>
      <c r="G15">
        <v>917997947.56742454</v>
      </c>
      <c r="H15">
        <v>174</v>
      </c>
      <c r="I15">
        <v>5.8860103626943008E-2</v>
      </c>
      <c r="L15">
        <v>14</v>
      </c>
      <c r="M15">
        <v>14</v>
      </c>
      <c r="N15">
        <v>1.5497022778443571E-2</v>
      </c>
      <c r="P15">
        <v>917997947.56742454</v>
      </c>
      <c r="Q15">
        <v>174</v>
      </c>
      <c r="R15">
        <v>713</v>
      </c>
      <c r="T15">
        <v>5.8860103626943008E-2</v>
      </c>
    </row>
    <row r="16" spans="1:20" x14ac:dyDescent="0.3">
      <c r="A16" t="s">
        <v>57</v>
      </c>
      <c r="B16" t="s">
        <v>124</v>
      </c>
      <c r="C16" s="155">
        <v>0.75</v>
      </c>
      <c r="D16">
        <v>1413806059.7329302</v>
      </c>
      <c r="G16">
        <v>936532356.06438017</v>
      </c>
      <c r="H16">
        <v>174</v>
      </c>
      <c r="I16">
        <v>6.7875647668393782E-2</v>
      </c>
      <c r="L16">
        <v>15</v>
      </c>
      <c r="M16">
        <v>15</v>
      </c>
      <c r="N16">
        <v>1.8435813236348322E-2</v>
      </c>
      <c r="P16">
        <v>936532356.06438017</v>
      </c>
      <c r="Q16">
        <v>174</v>
      </c>
      <c r="T16">
        <v>6.7875647668393782E-2</v>
      </c>
    </row>
    <row r="17" spans="1:20" x14ac:dyDescent="0.3">
      <c r="A17" t="s">
        <v>58</v>
      </c>
      <c r="B17">
        <v>98</v>
      </c>
      <c r="C17" s="155">
        <v>0.8</v>
      </c>
      <c r="D17">
        <v>1449148771.1020939</v>
      </c>
      <c r="G17">
        <v>955066764.56133592</v>
      </c>
      <c r="H17">
        <v>202</v>
      </c>
      <c r="I17">
        <v>7.8341968911917095E-2</v>
      </c>
      <c r="L17">
        <v>16</v>
      </c>
      <c r="M17">
        <v>16</v>
      </c>
      <c r="N17">
        <v>1.7580699333932043E-2</v>
      </c>
      <c r="P17">
        <v>955066764.56133592</v>
      </c>
      <c r="Q17">
        <v>202</v>
      </c>
      <c r="T17">
        <v>7.8341968911917095E-2</v>
      </c>
    </row>
    <row r="18" spans="1:20" x14ac:dyDescent="0.3">
      <c r="A18" t="s">
        <v>59</v>
      </c>
      <c r="B18">
        <v>2</v>
      </c>
      <c r="C18" s="155">
        <v>0.85</v>
      </c>
      <c r="D18">
        <v>1487451184.3945251</v>
      </c>
      <c r="G18">
        <v>973601173.05829167</v>
      </c>
      <c r="H18">
        <v>217</v>
      </c>
      <c r="I18">
        <v>8.9585492227979277E-2</v>
      </c>
      <c r="L18">
        <v>17</v>
      </c>
      <c r="M18">
        <v>17</v>
      </c>
      <c r="N18">
        <v>1.7580699333932042E-3</v>
      </c>
      <c r="P18">
        <v>973601173.05829167</v>
      </c>
      <c r="Q18">
        <v>217</v>
      </c>
      <c r="T18">
        <v>8.9585492227979277E-2</v>
      </c>
    </row>
    <row r="19" spans="1:20" x14ac:dyDescent="0.3">
      <c r="A19" t="s">
        <v>60</v>
      </c>
      <c r="B19" t="s">
        <v>64</v>
      </c>
      <c r="C19" s="155">
        <v>0.9</v>
      </c>
      <c r="D19">
        <v>1537621672.2544301</v>
      </c>
      <c r="G19">
        <v>992135581.55524731</v>
      </c>
      <c r="H19">
        <v>272</v>
      </c>
      <c r="I19">
        <v>0.10367875647668394</v>
      </c>
      <c r="L19">
        <v>18</v>
      </c>
      <c r="M19">
        <v>18</v>
      </c>
      <c r="N19">
        <v>1.9890290747240264E-2</v>
      </c>
      <c r="P19">
        <v>992135581.55524731</v>
      </c>
      <c r="Q19">
        <v>272</v>
      </c>
      <c r="T19">
        <v>0.10367875647668394</v>
      </c>
    </row>
    <row r="20" spans="1:20" x14ac:dyDescent="0.3">
      <c r="A20" t="s">
        <v>61</v>
      </c>
      <c r="B20" t="s">
        <v>65</v>
      </c>
      <c r="C20" s="155">
        <v>0.95</v>
      </c>
      <c r="D20">
        <v>1613943054.7151222</v>
      </c>
      <c r="G20">
        <v>1010669990.0522029</v>
      </c>
      <c r="H20">
        <v>302</v>
      </c>
      <c r="I20">
        <v>0.11932642487046632</v>
      </c>
      <c r="L20">
        <v>19</v>
      </c>
      <c r="M20">
        <v>19</v>
      </c>
      <c r="N20">
        <v>3.5161398667864086E-9</v>
      </c>
      <c r="P20">
        <v>1010669990.0522029</v>
      </c>
      <c r="Q20">
        <v>302</v>
      </c>
      <c r="T20">
        <v>0.11932642487046632</v>
      </c>
    </row>
    <row r="21" spans="1:20" x14ac:dyDescent="0.3">
      <c r="A21" t="s">
        <v>62</v>
      </c>
      <c r="B21" t="s">
        <v>66</v>
      </c>
      <c r="G21">
        <v>1029204398.5491587</v>
      </c>
      <c r="H21">
        <v>293</v>
      </c>
      <c r="I21">
        <v>0.13450777202072539</v>
      </c>
      <c r="L21">
        <v>20</v>
      </c>
      <c r="M21">
        <v>20</v>
      </c>
      <c r="N21">
        <v>1.7580699333932043E-8</v>
      </c>
      <c r="P21">
        <v>1029204398.5491587</v>
      </c>
      <c r="Q21">
        <v>293</v>
      </c>
      <c r="T21">
        <v>0.13450777202072539</v>
      </c>
    </row>
    <row r="22" spans="1:20" x14ac:dyDescent="0.3">
      <c r="A22" t="s">
        <v>63</v>
      </c>
      <c r="B22" t="s">
        <v>6</v>
      </c>
      <c r="G22">
        <v>1047738807.0461144</v>
      </c>
      <c r="H22">
        <v>349</v>
      </c>
      <c r="I22">
        <v>0.15259067357512954</v>
      </c>
      <c r="L22">
        <v>21</v>
      </c>
      <c r="M22">
        <v>21</v>
      </c>
      <c r="N22">
        <v>3.5161398667864087E-2</v>
      </c>
      <c r="P22">
        <v>1047738807.0461144</v>
      </c>
      <c r="Q22">
        <v>349</v>
      </c>
      <c r="T22">
        <v>0.15259067357512954</v>
      </c>
    </row>
    <row r="23" spans="1:20" x14ac:dyDescent="0.3">
      <c r="G23">
        <v>1066273215.5430701</v>
      </c>
      <c r="H23">
        <v>375</v>
      </c>
      <c r="I23">
        <v>0.17202072538860103</v>
      </c>
      <c r="L23">
        <v>22</v>
      </c>
      <c r="M23">
        <v>22</v>
      </c>
      <c r="N23">
        <v>3.5161398667864084E-3</v>
      </c>
      <c r="P23">
        <v>1066273215.5430701</v>
      </c>
      <c r="Q23">
        <v>375</v>
      </c>
      <c r="T23">
        <v>0.17202072538860103</v>
      </c>
    </row>
    <row r="24" spans="1:20" x14ac:dyDescent="0.3">
      <c r="G24">
        <v>1084807624.0400257</v>
      </c>
      <c r="H24">
        <v>459</v>
      </c>
      <c r="I24">
        <v>0.19580310880829016</v>
      </c>
      <c r="L24">
        <v>23</v>
      </c>
      <c r="M24">
        <v>19</v>
      </c>
      <c r="N24">
        <v>3.5161398667864086E-9</v>
      </c>
      <c r="P24">
        <v>1084807624.0400257</v>
      </c>
      <c r="Q24">
        <v>459</v>
      </c>
      <c r="T24">
        <v>0.19580310880829016</v>
      </c>
    </row>
    <row r="25" spans="1:20" x14ac:dyDescent="0.3">
      <c r="G25">
        <v>1103342032.5369816</v>
      </c>
      <c r="H25">
        <v>483</v>
      </c>
      <c r="I25">
        <v>0.22082901554404144</v>
      </c>
      <c r="L25">
        <v>24</v>
      </c>
      <c r="M25">
        <v>24</v>
      </c>
      <c r="N25">
        <v>3.4150631015515869E-3</v>
      </c>
      <c r="P25">
        <v>1103342032.5369816</v>
      </c>
      <c r="Q25">
        <v>483</v>
      </c>
      <c r="T25">
        <v>0.22082901554404144</v>
      </c>
    </row>
    <row r="26" spans="1:20" x14ac:dyDescent="0.3">
      <c r="G26">
        <v>1121876441.0339372</v>
      </c>
      <c r="H26">
        <v>534</v>
      </c>
      <c r="I26">
        <v>0.24849740932642486</v>
      </c>
      <c r="L26">
        <v>25</v>
      </c>
      <c r="M26">
        <v>25</v>
      </c>
      <c r="N26">
        <v>7.0322797335728173E-12</v>
      </c>
      <c r="P26">
        <v>1121876441.0339372</v>
      </c>
      <c r="Q26">
        <v>534</v>
      </c>
      <c r="T26">
        <v>0.24849740932642486</v>
      </c>
    </row>
    <row r="27" spans="1:20" x14ac:dyDescent="0.3">
      <c r="G27">
        <v>1140410849.5308928</v>
      </c>
      <c r="H27">
        <v>537</v>
      </c>
      <c r="I27">
        <v>0.27632124352331605</v>
      </c>
      <c r="L27">
        <v>26</v>
      </c>
      <c r="M27">
        <v>26</v>
      </c>
      <c r="N27">
        <v>2.1194284704024319E-3</v>
      </c>
      <c r="P27">
        <v>1140410849.5308928</v>
      </c>
      <c r="Q27">
        <v>537</v>
      </c>
      <c r="T27">
        <v>0.27632124352331605</v>
      </c>
    </row>
    <row r="28" spans="1:20" x14ac:dyDescent="0.3">
      <c r="G28">
        <v>1158945258.0278487</v>
      </c>
      <c r="H28">
        <v>607</v>
      </c>
      <c r="I28">
        <v>0.30777202072538862</v>
      </c>
      <c r="L28">
        <v>27</v>
      </c>
      <c r="M28">
        <v>27</v>
      </c>
      <c r="N28">
        <v>1.7580699333932032E-10</v>
      </c>
      <c r="P28">
        <v>1158945258.0278487</v>
      </c>
      <c r="Q28">
        <v>607</v>
      </c>
      <c r="T28">
        <v>0.30777202072538862</v>
      </c>
    </row>
    <row r="29" spans="1:20" x14ac:dyDescent="0.3">
      <c r="G29">
        <v>1177479666.5248044</v>
      </c>
      <c r="H29">
        <v>641</v>
      </c>
      <c r="I29">
        <v>0.3409844559585492</v>
      </c>
      <c r="L29">
        <v>28</v>
      </c>
      <c r="M29">
        <v>22</v>
      </c>
      <c r="N29">
        <v>3.5161398667864084E-3</v>
      </c>
      <c r="P29">
        <v>1177479666.5248044</v>
      </c>
      <c r="Q29">
        <v>641</v>
      </c>
      <c r="T29">
        <v>0.3409844559585492</v>
      </c>
    </row>
    <row r="30" spans="1:20" x14ac:dyDescent="0.3">
      <c r="G30">
        <v>1196014075.02176</v>
      </c>
      <c r="H30">
        <v>654</v>
      </c>
      <c r="I30">
        <v>0.37487046632124355</v>
      </c>
      <c r="L30">
        <v>29</v>
      </c>
      <c r="M30">
        <v>29</v>
      </c>
      <c r="N30">
        <v>2.0300442985975078E-3</v>
      </c>
      <c r="P30">
        <v>1196014075.02176</v>
      </c>
      <c r="Q30">
        <v>654</v>
      </c>
      <c r="T30">
        <v>0.37487046632124355</v>
      </c>
    </row>
    <row r="31" spans="1:20" x14ac:dyDescent="0.3">
      <c r="G31">
        <v>1214548483.5187156</v>
      </c>
      <c r="H31">
        <v>684</v>
      </c>
      <c r="I31">
        <v>0.41031088082901557</v>
      </c>
      <c r="L31">
        <v>30</v>
      </c>
      <c r="M31">
        <v>30</v>
      </c>
      <c r="N31">
        <v>5.3709923645335546E-4</v>
      </c>
      <c r="P31">
        <v>1214548483.5187156</v>
      </c>
      <c r="Q31">
        <v>684</v>
      </c>
      <c r="T31">
        <v>0.41031088082901557</v>
      </c>
    </row>
    <row r="32" spans="1:20" x14ac:dyDescent="0.3">
      <c r="G32">
        <v>1233082892.0156713</v>
      </c>
      <c r="H32">
        <v>713</v>
      </c>
      <c r="I32">
        <v>0.4472538860103627</v>
      </c>
      <c r="L32">
        <v>31</v>
      </c>
      <c r="M32">
        <v>31</v>
      </c>
      <c r="N32">
        <v>0.47239440524695636</v>
      </c>
      <c r="P32">
        <v>1233082892.0156713</v>
      </c>
      <c r="Q32">
        <v>713</v>
      </c>
      <c r="T32">
        <v>0.4472538860103627</v>
      </c>
    </row>
    <row r="33" spans="7:20" x14ac:dyDescent="0.3">
      <c r="G33">
        <v>1251617300.5126271</v>
      </c>
      <c r="H33">
        <v>643</v>
      </c>
      <c r="I33">
        <v>0.48056994818652848</v>
      </c>
      <c r="L33">
        <v>32</v>
      </c>
      <c r="M33">
        <v>32</v>
      </c>
      <c r="N33">
        <v>5.6119295448440527E-2</v>
      </c>
      <c r="P33">
        <v>1251617300.5126271</v>
      </c>
      <c r="Q33">
        <v>643</v>
      </c>
      <c r="T33">
        <v>0.48056994818652848</v>
      </c>
    </row>
    <row r="34" spans="7:20" x14ac:dyDescent="0.3">
      <c r="G34">
        <v>1270151709.0095828</v>
      </c>
      <c r="H34">
        <v>641</v>
      </c>
      <c r="I34">
        <v>0.51378238341968907</v>
      </c>
      <c r="L34">
        <v>33</v>
      </c>
      <c r="M34">
        <v>33</v>
      </c>
      <c r="N34">
        <v>2.0269100436506797E-3</v>
      </c>
      <c r="P34">
        <v>1270151709.0095828</v>
      </c>
      <c r="Q34">
        <v>641</v>
      </c>
      <c r="T34">
        <v>0.51378238341968907</v>
      </c>
    </row>
    <row r="35" spans="7:20" x14ac:dyDescent="0.3">
      <c r="G35">
        <v>1288686117.5065384</v>
      </c>
      <c r="H35">
        <v>620</v>
      </c>
      <c r="I35">
        <v>0.54590673575129534</v>
      </c>
      <c r="L35">
        <v>34</v>
      </c>
      <c r="M35">
        <v>34</v>
      </c>
      <c r="N35">
        <v>5.6318572723060227E-2</v>
      </c>
      <c r="P35">
        <v>1288686117.5065384</v>
      </c>
      <c r="Q35">
        <v>620</v>
      </c>
      <c r="T35">
        <v>0.54590673575129534</v>
      </c>
    </row>
    <row r="36" spans="7:20" x14ac:dyDescent="0.3">
      <c r="G36">
        <v>1307220526.0034943</v>
      </c>
      <c r="H36">
        <v>621</v>
      </c>
      <c r="I36">
        <v>0.57808290155440412</v>
      </c>
      <c r="L36">
        <v>35</v>
      </c>
      <c r="M36">
        <v>35</v>
      </c>
      <c r="N36">
        <v>2.0318919755161705E-3</v>
      </c>
      <c r="P36">
        <v>1307220526.0034943</v>
      </c>
      <c r="Q36">
        <v>621</v>
      </c>
      <c r="T36">
        <v>0.57808290155440412</v>
      </c>
    </row>
    <row r="37" spans="7:20" x14ac:dyDescent="0.3">
      <c r="G37">
        <v>1325754934.5004499</v>
      </c>
      <c r="H37">
        <v>619</v>
      </c>
      <c r="I37">
        <v>0.61015544041450775</v>
      </c>
      <c r="L37">
        <v>36</v>
      </c>
      <c r="M37">
        <v>36</v>
      </c>
      <c r="N37">
        <v>3.5585227610661469E-3</v>
      </c>
      <c r="P37">
        <v>1325754934.5004499</v>
      </c>
      <c r="Q37">
        <v>619</v>
      </c>
      <c r="T37">
        <v>0.61015544041450775</v>
      </c>
    </row>
    <row r="38" spans="7:20" x14ac:dyDescent="0.3">
      <c r="G38">
        <v>1344289342.9974055</v>
      </c>
      <c r="H38">
        <v>617</v>
      </c>
      <c r="I38">
        <v>0.64212435233160625</v>
      </c>
      <c r="L38">
        <v>37</v>
      </c>
      <c r="M38">
        <v>37</v>
      </c>
      <c r="N38">
        <v>4.7446970147548625E-4</v>
      </c>
      <c r="P38">
        <v>1344289342.9974055</v>
      </c>
      <c r="Q38">
        <v>617</v>
      </c>
      <c r="T38">
        <v>0.64212435233160625</v>
      </c>
    </row>
    <row r="39" spans="7:20" x14ac:dyDescent="0.3">
      <c r="G39">
        <v>1362823751.4943614</v>
      </c>
      <c r="H39">
        <v>543</v>
      </c>
      <c r="I39">
        <v>0.67025906735751295</v>
      </c>
      <c r="L39">
        <v>38</v>
      </c>
      <c r="M39">
        <v>38</v>
      </c>
      <c r="N39">
        <v>6.7100148676174639E-10</v>
      </c>
      <c r="P39">
        <v>1362823751.4943614</v>
      </c>
      <c r="Q39">
        <v>543</v>
      </c>
      <c r="T39">
        <v>0.67025906735751295</v>
      </c>
    </row>
    <row r="40" spans="7:20" x14ac:dyDescent="0.3">
      <c r="G40">
        <v>1381358159.9913168</v>
      </c>
      <c r="H40">
        <v>539</v>
      </c>
      <c r="I40">
        <v>0.69818652849740936</v>
      </c>
      <c r="L40">
        <v>39</v>
      </c>
      <c r="M40">
        <v>39</v>
      </c>
      <c r="N40">
        <v>1.290367815398249E-4</v>
      </c>
      <c r="P40">
        <v>1381358159.9913168</v>
      </c>
      <c r="Q40">
        <v>539</v>
      </c>
      <c r="T40">
        <v>0.69818652849740936</v>
      </c>
    </row>
    <row r="41" spans="7:20" x14ac:dyDescent="0.3">
      <c r="G41">
        <v>1399892568.4882727</v>
      </c>
      <c r="H41">
        <v>584</v>
      </c>
      <c r="I41">
        <v>0.7284455958549223</v>
      </c>
      <c r="L41">
        <v>40</v>
      </c>
      <c r="M41">
        <v>40</v>
      </c>
      <c r="N41">
        <v>1.6886500436239015E-5</v>
      </c>
      <c r="P41">
        <v>1399892568.4882727</v>
      </c>
      <c r="Q41">
        <v>584</v>
      </c>
      <c r="T41">
        <v>0.7284455958549223</v>
      </c>
    </row>
    <row r="42" spans="7:20" x14ac:dyDescent="0.3">
      <c r="G42">
        <v>1418426976.9852283</v>
      </c>
      <c r="H42">
        <v>531</v>
      </c>
      <c r="I42">
        <v>0.75595854922279793</v>
      </c>
      <c r="L42">
        <v>41</v>
      </c>
      <c r="M42">
        <v>41</v>
      </c>
      <c r="N42">
        <v>8.1202609192242679E-4</v>
      </c>
      <c r="P42">
        <v>1418426976.9852283</v>
      </c>
      <c r="Q42">
        <v>531</v>
      </c>
      <c r="T42">
        <v>0.75595854922279793</v>
      </c>
    </row>
    <row r="43" spans="7:20" x14ac:dyDescent="0.3">
      <c r="G43">
        <v>1436961385.4821839</v>
      </c>
      <c r="H43">
        <v>533</v>
      </c>
      <c r="I43">
        <v>0.7835751295336788</v>
      </c>
      <c r="L43">
        <v>42</v>
      </c>
      <c r="M43">
        <v>42</v>
      </c>
      <c r="N43">
        <v>1.128837044474874E-3</v>
      </c>
      <c r="P43">
        <v>1436961385.4821839</v>
      </c>
      <c r="Q43">
        <v>533</v>
      </c>
      <c r="T43">
        <v>0.7835751295336788</v>
      </c>
    </row>
    <row r="44" spans="7:20" x14ac:dyDescent="0.3">
      <c r="G44">
        <v>1455495793.9791398</v>
      </c>
      <c r="H44">
        <v>507</v>
      </c>
      <c r="I44">
        <v>0.80984455958549217</v>
      </c>
      <c r="L44">
        <v>43</v>
      </c>
      <c r="M44">
        <v>43</v>
      </c>
      <c r="N44">
        <v>4.5691572786611808E-3</v>
      </c>
      <c r="P44">
        <v>1455495793.9791398</v>
      </c>
      <c r="Q44">
        <v>507</v>
      </c>
      <c r="T44">
        <v>0.80984455958549217</v>
      </c>
    </row>
    <row r="45" spans="7:20" x14ac:dyDescent="0.3">
      <c r="G45">
        <v>1474030202.4760954</v>
      </c>
      <c r="H45">
        <v>453</v>
      </c>
      <c r="I45">
        <v>0.83331606217616583</v>
      </c>
      <c r="L45">
        <v>44</v>
      </c>
      <c r="M45">
        <v>44</v>
      </c>
      <c r="N45">
        <v>2.0130044602852386E-12</v>
      </c>
      <c r="P45">
        <v>1474030202.4760954</v>
      </c>
      <c r="Q45">
        <v>453</v>
      </c>
      <c r="T45">
        <v>0.83331606217616583</v>
      </c>
    </row>
    <row r="46" spans="7:20" x14ac:dyDescent="0.3">
      <c r="G46">
        <v>1492564610.9730511</v>
      </c>
      <c r="H46">
        <v>401</v>
      </c>
      <c r="I46">
        <v>0.85409326424870469</v>
      </c>
      <c r="L46">
        <v>45</v>
      </c>
      <c r="M46">
        <v>45</v>
      </c>
      <c r="N46">
        <v>9.4893940295097249E-4</v>
      </c>
      <c r="P46">
        <v>1492564610.9730511</v>
      </c>
      <c r="Q46">
        <v>401</v>
      </c>
      <c r="T46">
        <v>0.85409326424870469</v>
      </c>
    </row>
    <row r="47" spans="7:20" x14ac:dyDescent="0.3">
      <c r="G47">
        <v>1511099019.4700069</v>
      </c>
      <c r="H47">
        <v>380</v>
      </c>
      <c r="I47">
        <v>0.87378238341968917</v>
      </c>
      <c r="L47">
        <v>46</v>
      </c>
      <c r="M47">
        <v>46</v>
      </c>
      <c r="N47">
        <v>1.4234091044264588E-4</v>
      </c>
      <c r="P47">
        <v>1511099019.4700069</v>
      </c>
      <c r="Q47">
        <v>380</v>
      </c>
      <c r="T47">
        <v>0.87378238341968917</v>
      </c>
    </row>
    <row r="48" spans="7:20" x14ac:dyDescent="0.3">
      <c r="G48">
        <v>1529633427.9669623</v>
      </c>
      <c r="H48">
        <v>377</v>
      </c>
      <c r="I48">
        <v>0.89331606217616577</v>
      </c>
      <c r="L48">
        <v>47</v>
      </c>
      <c r="M48">
        <v>47</v>
      </c>
      <c r="N48">
        <v>9.4893940295097262E-6</v>
      </c>
      <c r="P48">
        <v>1529633427.9669623</v>
      </c>
      <c r="Q48">
        <v>377</v>
      </c>
      <c r="T48">
        <v>0.89331606217616577</v>
      </c>
    </row>
    <row r="49" spans="7:20" x14ac:dyDescent="0.3">
      <c r="G49">
        <v>1548167836.4639182</v>
      </c>
      <c r="H49">
        <v>304</v>
      </c>
      <c r="I49">
        <v>0.90906735751295342</v>
      </c>
      <c r="L49">
        <v>48</v>
      </c>
      <c r="M49">
        <v>48</v>
      </c>
      <c r="N49">
        <v>3.2141526517352391E-5</v>
      </c>
      <c r="P49">
        <v>1548167836.4639182</v>
      </c>
      <c r="Q49">
        <v>304</v>
      </c>
      <c r="T49">
        <v>0.90906735751295342</v>
      </c>
    </row>
    <row r="50" spans="7:20" x14ac:dyDescent="0.3">
      <c r="G50">
        <v>1566702244.9608741</v>
      </c>
      <c r="H50">
        <v>301</v>
      </c>
      <c r="I50">
        <v>0.92466321243523319</v>
      </c>
      <c r="L50">
        <v>49</v>
      </c>
      <c r="M50">
        <v>49</v>
      </c>
      <c r="N50">
        <v>4.2702273132793759E-5</v>
      </c>
      <c r="P50">
        <v>1566702244.9608741</v>
      </c>
      <c r="Q50">
        <v>301</v>
      </c>
      <c r="T50">
        <v>0.92466321243523319</v>
      </c>
    </row>
    <row r="51" spans="7:20" x14ac:dyDescent="0.3">
      <c r="G51">
        <v>1585236653.4578295</v>
      </c>
      <c r="H51">
        <v>196</v>
      </c>
      <c r="I51">
        <v>0.93481865284974097</v>
      </c>
      <c r="L51">
        <v>50</v>
      </c>
      <c r="M51">
        <v>50</v>
      </c>
      <c r="N51">
        <v>2.1351136566396879E-5</v>
      </c>
      <c r="P51">
        <v>1585236653.4578295</v>
      </c>
      <c r="Q51">
        <v>196</v>
      </c>
      <c r="T51">
        <v>0.93481865284974097</v>
      </c>
    </row>
    <row r="52" spans="7:20" x14ac:dyDescent="0.3">
      <c r="G52">
        <v>1603771061.9547853</v>
      </c>
      <c r="H52">
        <v>198</v>
      </c>
      <c r="I52">
        <v>0.94507772020725389</v>
      </c>
      <c r="L52">
        <v>51</v>
      </c>
      <c r="M52">
        <v>51</v>
      </c>
      <c r="N52">
        <v>9.4893940295097252E-5</v>
      </c>
      <c r="P52">
        <v>1603771061.9547853</v>
      </c>
      <c r="Q52">
        <v>198</v>
      </c>
      <c r="T52">
        <v>0.94507772020725389</v>
      </c>
    </row>
    <row r="53" spans="7:20" x14ac:dyDescent="0.3">
      <c r="G53">
        <v>1622305470.451741</v>
      </c>
      <c r="H53">
        <v>174</v>
      </c>
      <c r="I53">
        <v>0.95409326424870466</v>
      </c>
      <c r="L53">
        <v>52</v>
      </c>
      <c r="M53">
        <v>52</v>
      </c>
      <c r="N53">
        <v>2.3723485073774313E-5</v>
      </c>
      <c r="P53">
        <v>1622305470.451741</v>
      </c>
      <c r="Q53">
        <v>174</v>
      </c>
      <c r="S53">
        <v>713</v>
      </c>
      <c r="T53">
        <v>0.95409326424870466</v>
      </c>
    </row>
    <row r="54" spans="7:20" x14ac:dyDescent="0.3">
      <c r="G54">
        <v>1640839878.9486966</v>
      </c>
      <c r="H54">
        <v>172</v>
      </c>
      <c r="I54">
        <v>0.9630051813471503</v>
      </c>
      <c r="L54">
        <v>53</v>
      </c>
      <c r="M54">
        <v>53</v>
      </c>
      <c r="N54">
        <v>4.0910962222234183E-3</v>
      </c>
      <c r="P54">
        <v>1640839878.9486966</v>
      </c>
      <c r="Q54">
        <v>172</v>
      </c>
      <c r="T54">
        <v>0.9630051813471503</v>
      </c>
    </row>
    <row r="55" spans="7:20" x14ac:dyDescent="0.3">
      <c r="G55">
        <v>1659374287.4456525</v>
      </c>
      <c r="H55">
        <v>121</v>
      </c>
      <c r="I55">
        <v>0.96927461139896376</v>
      </c>
      <c r="L55">
        <v>54</v>
      </c>
      <c r="M55">
        <v>54</v>
      </c>
      <c r="N55">
        <v>1.9551030552528667E-3</v>
      </c>
      <c r="P55">
        <v>1659374287.4456525</v>
      </c>
      <c r="Q55">
        <v>121</v>
      </c>
      <c r="T55">
        <v>0.96927461139896376</v>
      </c>
    </row>
    <row r="56" spans="7:20" x14ac:dyDescent="0.3">
      <c r="G56">
        <v>1677908695.9426081</v>
      </c>
      <c r="H56">
        <v>101</v>
      </c>
      <c r="I56">
        <v>0.97450777202072536</v>
      </c>
      <c r="L56">
        <v>55</v>
      </c>
      <c r="M56">
        <v>55</v>
      </c>
      <c r="N56">
        <v>4.071168582781678E-3</v>
      </c>
      <c r="P56">
        <v>1677908695.9426081</v>
      </c>
      <c r="Q56">
        <v>101</v>
      </c>
      <c r="T56">
        <v>0.97450777202072536</v>
      </c>
    </row>
    <row r="57" spans="7:20" x14ac:dyDescent="0.3">
      <c r="G57">
        <v>1696443104.4395638</v>
      </c>
      <c r="H57">
        <v>96</v>
      </c>
      <c r="I57">
        <v>0.97948186528497405</v>
      </c>
      <c r="L57">
        <v>56</v>
      </c>
      <c r="M57">
        <v>56</v>
      </c>
      <c r="N57">
        <v>2.2558617257293986E-4</v>
      </c>
      <c r="P57">
        <v>1696443104.4395638</v>
      </c>
      <c r="Q57">
        <v>96</v>
      </c>
      <c r="T57">
        <v>0.97948186528497405</v>
      </c>
    </row>
    <row r="58" spans="7:20" x14ac:dyDescent="0.3">
      <c r="G58">
        <v>1714977512.9365196</v>
      </c>
      <c r="H58">
        <v>76</v>
      </c>
      <c r="I58">
        <v>0.98341968911917099</v>
      </c>
      <c r="K58">
        <v>713</v>
      </c>
      <c r="L58">
        <v>57</v>
      </c>
      <c r="M58">
        <v>57</v>
      </c>
      <c r="N58">
        <v>9.0149243280342392E-3</v>
      </c>
      <c r="P58">
        <v>1714977512.9365196</v>
      </c>
      <c r="Q58">
        <v>76</v>
      </c>
      <c r="T58">
        <v>0.98341968911917099</v>
      </c>
    </row>
    <row r="59" spans="7:20" x14ac:dyDescent="0.3">
      <c r="G59">
        <v>1733511921.433475</v>
      </c>
      <c r="H59">
        <v>47</v>
      </c>
      <c r="I59">
        <v>0.98585492227979277</v>
      </c>
      <c r="L59">
        <v>58</v>
      </c>
      <c r="M59">
        <v>58</v>
      </c>
      <c r="N59">
        <v>5.7913227487498956E-2</v>
      </c>
      <c r="P59">
        <v>1733511921.433475</v>
      </c>
      <c r="Q59">
        <v>47</v>
      </c>
      <c r="T59">
        <v>0.98585492227979277</v>
      </c>
    </row>
    <row r="60" spans="7:20" x14ac:dyDescent="0.3">
      <c r="G60">
        <v>1752046329.9304309</v>
      </c>
      <c r="H60">
        <v>76</v>
      </c>
      <c r="I60">
        <v>0.9897927461139896</v>
      </c>
      <c r="L60">
        <v>59</v>
      </c>
      <c r="M60">
        <v>59</v>
      </c>
      <c r="N60">
        <v>2.071758344628148E-3</v>
      </c>
      <c r="P60">
        <v>1752046329.9304309</v>
      </c>
      <c r="Q60">
        <v>76</v>
      </c>
      <c r="T60">
        <v>0.9897927461139896</v>
      </c>
    </row>
    <row r="61" spans="7:20" x14ac:dyDescent="0.3">
      <c r="G61">
        <v>1770580738.4273868</v>
      </c>
      <c r="H61">
        <v>76</v>
      </c>
      <c r="I61">
        <v>0.99373056994818654</v>
      </c>
      <c r="L61">
        <v>60</v>
      </c>
      <c r="M61">
        <v>60</v>
      </c>
      <c r="N61">
        <v>1.8526556538282904E-2</v>
      </c>
      <c r="P61">
        <v>1770580738.4273868</v>
      </c>
      <c r="Q61">
        <v>76</v>
      </c>
      <c r="T61">
        <v>0.99373056994818654</v>
      </c>
    </row>
    <row r="62" spans="7:20" x14ac:dyDescent="0.3">
      <c r="G62">
        <v>1789115146.9243422</v>
      </c>
      <c r="H62">
        <v>24</v>
      </c>
      <c r="I62">
        <v>0.99497409326424868</v>
      </c>
      <c r="L62">
        <v>61</v>
      </c>
      <c r="M62">
        <v>61</v>
      </c>
      <c r="N62">
        <v>4.3006657255620848E-3</v>
      </c>
      <c r="P62">
        <v>1789115146.9243422</v>
      </c>
      <c r="Q62">
        <v>24</v>
      </c>
      <c r="T62">
        <v>0.99497409326424868</v>
      </c>
    </row>
    <row r="63" spans="7:20" x14ac:dyDescent="0.3">
      <c r="G63">
        <v>1807649555.421298</v>
      </c>
      <c r="H63">
        <v>21</v>
      </c>
      <c r="I63">
        <v>0.99606217616580306</v>
      </c>
      <c r="L63">
        <v>62</v>
      </c>
      <c r="M63">
        <v>62</v>
      </c>
      <c r="N63">
        <v>1.1198355707469311E-2</v>
      </c>
      <c r="P63">
        <v>1807649555.421298</v>
      </c>
      <c r="Q63">
        <v>21</v>
      </c>
      <c r="T63">
        <v>0.99606217616580306</v>
      </c>
    </row>
    <row r="64" spans="7:20" x14ac:dyDescent="0.3">
      <c r="G64">
        <v>1826183963.9182534</v>
      </c>
      <c r="H64">
        <v>31</v>
      </c>
      <c r="I64">
        <v>0.99766839378238337</v>
      </c>
      <c r="L64">
        <v>63</v>
      </c>
      <c r="M64">
        <v>63</v>
      </c>
      <c r="N64">
        <v>4.7922451530583218E-3</v>
      </c>
      <c r="P64">
        <v>1826183963.9182534</v>
      </c>
      <c r="Q64">
        <v>31</v>
      </c>
      <c r="T64">
        <v>0.99766839378238337</v>
      </c>
    </row>
    <row r="65" spans="7:20" x14ac:dyDescent="0.3">
      <c r="G65">
        <v>1844718372.4152093</v>
      </c>
      <c r="H65">
        <v>46</v>
      </c>
      <c r="I65">
        <v>1.0000518134715026</v>
      </c>
      <c r="L65">
        <v>64</v>
      </c>
      <c r="M65">
        <v>64</v>
      </c>
      <c r="N65">
        <v>1.251147045156935E-2</v>
      </c>
      <c r="P65">
        <v>1844718372.4152093</v>
      </c>
      <c r="Q65">
        <v>46</v>
      </c>
      <c r="T65">
        <v>1.0000518134715026</v>
      </c>
    </row>
    <row r="66" spans="7:20" x14ac:dyDescent="0.3">
      <c r="L66">
        <v>65</v>
      </c>
      <c r="M66">
        <v>65</v>
      </c>
      <c r="N66">
        <v>3.8337683739612465E-3</v>
      </c>
    </row>
    <row r="67" spans="7:20" x14ac:dyDescent="0.3">
      <c r="L67">
        <v>66</v>
      </c>
      <c r="M67">
        <v>66</v>
      </c>
      <c r="N67">
        <v>9.9368632814407325E-3</v>
      </c>
    </row>
    <row r="68" spans="7:20" x14ac:dyDescent="0.3">
      <c r="L68">
        <v>67</v>
      </c>
      <c r="M68">
        <v>67</v>
      </c>
      <c r="N68">
        <v>5.1944637647843E-3</v>
      </c>
    </row>
    <row r="69" spans="7:20" x14ac:dyDescent="0.3">
      <c r="L69">
        <v>68</v>
      </c>
      <c r="M69">
        <v>68</v>
      </c>
      <c r="N69">
        <v>1.3625947538405922E-2</v>
      </c>
    </row>
    <row r="70" spans="7:20" x14ac:dyDescent="0.3">
      <c r="L70">
        <v>69</v>
      </c>
      <c r="M70">
        <v>69</v>
      </c>
      <c r="N70">
        <v>6.7090474103146383E-3</v>
      </c>
    </row>
    <row r="71" spans="7:20" x14ac:dyDescent="0.3">
      <c r="L71">
        <v>70</v>
      </c>
      <c r="M71">
        <v>70</v>
      </c>
      <c r="N71">
        <v>1.7380969894647283E-2</v>
      </c>
    </row>
    <row r="72" spans="7:20" x14ac:dyDescent="0.3">
      <c r="L72">
        <v>71</v>
      </c>
      <c r="M72">
        <v>71</v>
      </c>
      <c r="N72">
        <v>1.2435058495959899E-3</v>
      </c>
    </row>
    <row r="73" spans="7:20" x14ac:dyDescent="0.3">
      <c r="L73">
        <v>72</v>
      </c>
      <c r="M73">
        <v>72</v>
      </c>
      <c r="N73">
        <v>3.2400956182450889E-3</v>
      </c>
    </row>
    <row r="74" spans="7:20" x14ac:dyDescent="0.3">
      <c r="L74">
        <v>73</v>
      </c>
      <c r="M74">
        <v>73</v>
      </c>
      <c r="N74">
        <v>5.6522489410849299E-4</v>
      </c>
    </row>
    <row r="75" spans="7:20" x14ac:dyDescent="0.3">
      <c r="L75">
        <v>74</v>
      </c>
      <c r="M75">
        <v>74</v>
      </c>
      <c r="N75">
        <v>1.471097457227122E-3</v>
      </c>
    </row>
    <row r="76" spans="7:20" x14ac:dyDescent="0.3">
      <c r="L76">
        <v>75</v>
      </c>
      <c r="M76">
        <v>75</v>
      </c>
      <c r="N76">
        <v>1.6944649045069593E-3</v>
      </c>
    </row>
    <row r="77" spans="7:20" x14ac:dyDescent="0.3">
      <c r="L77">
        <v>76</v>
      </c>
      <c r="M77">
        <v>76</v>
      </c>
      <c r="N77">
        <v>4.3978355178676031E-3</v>
      </c>
    </row>
    <row r="78" spans="7:20" x14ac:dyDescent="0.3">
      <c r="L78">
        <v>77</v>
      </c>
      <c r="M78">
        <v>77</v>
      </c>
      <c r="N78">
        <v>2.2584600955485147E-3</v>
      </c>
    </row>
    <row r="79" spans="7:20" x14ac:dyDescent="0.3">
      <c r="L79">
        <v>78</v>
      </c>
      <c r="M79">
        <v>78</v>
      </c>
      <c r="N79">
        <v>5.9257742829056138E-3</v>
      </c>
    </row>
    <row r="80" spans="7:20" x14ac:dyDescent="0.3">
      <c r="L80">
        <v>79</v>
      </c>
      <c r="M80">
        <v>79</v>
      </c>
      <c r="N80">
        <v>1.6956820851749075E-3</v>
      </c>
    </row>
    <row r="81" spans="12:14" x14ac:dyDescent="0.3">
      <c r="L81">
        <v>80</v>
      </c>
      <c r="M81">
        <v>80</v>
      </c>
      <c r="N81">
        <v>4.4010151473342068E-3</v>
      </c>
    </row>
    <row r="82" spans="12:14" x14ac:dyDescent="0.3">
      <c r="L82">
        <v>81</v>
      </c>
      <c r="M82">
        <v>81</v>
      </c>
      <c r="N82">
        <v>1.4130748056590111E-3</v>
      </c>
    </row>
    <row r="83" spans="12:14" x14ac:dyDescent="0.3">
      <c r="L83">
        <v>82</v>
      </c>
      <c r="M83">
        <v>82</v>
      </c>
      <c r="N83">
        <v>3.690533596808568E-3</v>
      </c>
    </row>
    <row r="84" spans="12:14" x14ac:dyDescent="0.3">
      <c r="L84">
        <v>83</v>
      </c>
      <c r="M84">
        <v>83</v>
      </c>
      <c r="N84">
        <v>5.652285883538076E-3</v>
      </c>
    </row>
    <row r="85" spans="12:14" x14ac:dyDescent="0.3">
      <c r="L85">
        <v>84</v>
      </c>
      <c r="M85">
        <v>84</v>
      </c>
      <c r="N85">
        <v>1.4749852854866042E-2</v>
      </c>
    </row>
    <row r="86" spans="12:14" x14ac:dyDescent="0.3">
      <c r="L86">
        <v>85</v>
      </c>
      <c r="M86">
        <v>85</v>
      </c>
      <c r="N86">
        <v>1.4253564169384996E-3</v>
      </c>
    </row>
    <row r="87" spans="12:14" x14ac:dyDescent="0.3">
      <c r="L87">
        <v>86</v>
      </c>
      <c r="M87">
        <v>86</v>
      </c>
      <c r="N87">
        <v>3.6966449070192091E-3</v>
      </c>
    </row>
    <row r="88" spans="12:14" x14ac:dyDescent="0.3">
      <c r="L88">
        <v>87</v>
      </c>
      <c r="M88">
        <v>87</v>
      </c>
      <c r="N88">
        <v>4.7427621484804105E-3</v>
      </c>
    </row>
    <row r="89" spans="12:14" x14ac:dyDescent="0.3">
      <c r="L89">
        <v>88</v>
      </c>
      <c r="M89">
        <v>88</v>
      </c>
      <c r="N89">
        <v>1.244663719918571E-2</v>
      </c>
    </row>
    <row r="90" spans="12:14" x14ac:dyDescent="0.3">
      <c r="L90">
        <v>89</v>
      </c>
      <c r="M90">
        <v>89</v>
      </c>
      <c r="N90">
        <v>2.2596898105199555E-3</v>
      </c>
    </row>
    <row r="91" spans="12:14" x14ac:dyDescent="0.3">
      <c r="L91">
        <v>90</v>
      </c>
      <c r="M91">
        <v>90</v>
      </c>
      <c r="N91">
        <v>5.8718927032657235E-3</v>
      </c>
    </row>
    <row r="92" spans="12:14" x14ac:dyDescent="0.3">
      <c r="L92">
        <v>91</v>
      </c>
      <c r="M92">
        <v>91</v>
      </c>
      <c r="N92">
        <v>3.9000835366141823E-3</v>
      </c>
    </row>
    <row r="93" spans="12:14" x14ac:dyDescent="0.3">
      <c r="L93">
        <v>92</v>
      </c>
      <c r="M93">
        <v>92</v>
      </c>
      <c r="N93">
        <v>1.0151208276006409E-2</v>
      </c>
    </row>
    <row r="94" spans="12:14" x14ac:dyDescent="0.3">
      <c r="L94">
        <v>93</v>
      </c>
      <c r="M94">
        <v>93</v>
      </c>
      <c r="N94">
        <v>8.4784428614260894E-3</v>
      </c>
    </row>
    <row r="95" spans="12:14" x14ac:dyDescent="0.3">
      <c r="L95">
        <v>94</v>
      </c>
      <c r="M95">
        <v>94</v>
      </c>
      <c r="N95">
        <v>2.2164102503886306E-2</v>
      </c>
    </row>
    <row r="96" spans="12:14" x14ac:dyDescent="0.3">
      <c r="L96">
        <v>95</v>
      </c>
      <c r="M96">
        <v>95</v>
      </c>
      <c r="N96">
        <v>6.8810529034396134E-3</v>
      </c>
    </row>
    <row r="97" spans="12:14" x14ac:dyDescent="0.3">
      <c r="L97">
        <v>96</v>
      </c>
      <c r="M97">
        <v>96</v>
      </c>
      <c r="N97">
        <v>1.7877015352555817E-2</v>
      </c>
    </row>
    <row r="98" spans="12:14" x14ac:dyDescent="0.3">
      <c r="L98">
        <v>97</v>
      </c>
      <c r="M98">
        <v>97</v>
      </c>
      <c r="N98">
        <v>1.5811461662846537E-2</v>
      </c>
    </row>
    <row r="99" spans="12:14" x14ac:dyDescent="0.3">
      <c r="L99">
        <v>98</v>
      </c>
      <c r="M99">
        <v>98</v>
      </c>
      <c r="N99">
        <v>4.1429116044755299E-2</v>
      </c>
    </row>
    <row r="100" spans="12:14" x14ac:dyDescent="0.3">
      <c r="L100">
        <v>99</v>
      </c>
      <c r="M100">
        <v>99</v>
      </c>
      <c r="N100">
        <v>2.3945796730310233E-3</v>
      </c>
    </row>
    <row r="101" spans="12:14" x14ac:dyDescent="0.3">
      <c r="L101">
        <v>100</v>
      </c>
      <c r="M101">
        <v>100</v>
      </c>
      <c r="N101">
        <v>6.0607283622576306E-3</v>
      </c>
    </row>
    <row r="102" spans="12:14" x14ac:dyDescent="0.3">
      <c r="L102">
        <v>101</v>
      </c>
      <c r="M102">
        <v>101</v>
      </c>
      <c r="N102">
        <v>1.3816587040008433E-11</v>
      </c>
    </row>
    <row r="103" spans="12:14" x14ac:dyDescent="0.3">
      <c r="L103">
        <v>102</v>
      </c>
      <c r="M103">
        <v>102</v>
      </c>
      <c r="N103">
        <v>8.6267832196549737E-2</v>
      </c>
    </row>
    <row r="104" spans="12:14" x14ac:dyDescent="0.3">
      <c r="L104">
        <v>103</v>
      </c>
      <c r="M104">
        <v>103</v>
      </c>
      <c r="N104">
        <v>8.5827146416760591E-2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vt:lpstr>
      <vt:lpstr>4</vt:lpstr>
      <vt:lpstr>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Widi Destrianda</dc:creator>
  <cp:lastModifiedBy>Julyan Dico_PT BKI</cp:lastModifiedBy>
  <cp:lastPrinted>2025-12-02T15:23:53Z</cp:lastPrinted>
  <dcterms:created xsi:type="dcterms:W3CDTF">2024-04-24T01:39:59Z</dcterms:created>
  <dcterms:modified xsi:type="dcterms:W3CDTF">2025-12-02T15:26:00Z</dcterms:modified>
</cp:coreProperties>
</file>